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2173F4B-183E-4A62-8300-3536EB98CC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8" r:id="rId1"/>
    <sheet name="Top Defect" sheetId="17" r:id="rId2"/>
  </sheets>
  <definedNames>
    <definedName name="_xlnm._FilterDatabase" localSheetId="0" hidden="1">SUMMARY!$A$1:$AP$316</definedName>
    <definedName name="_xlnm._FilterDatabase" localSheetId="1" hidden="1">'Top Defect'!$A$1:$AL$5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8" i="18" l="1"/>
  <c r="L3" i="18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2" i="18"/>
  <c r="M178" i="18" l="1"/>
  <c r="N178" i="18" s="1"/>
  <c r="M301" i="18"/>
  <c r="N301" i="18" s="1"/>
  <c r="M118" i="18"/>
  <c r="N118" i="18" s="1"/>
  <c r="M112" i="18"/>
  <c r="N112" i="18" s="1"/>
  <c r="M64" i="18" l="1"/>
  <c r="N64" i="18" s="1"/>
  <c r="M174" i="18"/>
  <c r="N174" i="18" s="1"/>
  <c r="M36" i="18"/>
  <c r="N36" i="18" s="1"/>
  <c r="M6" i="18"/>
  <c r="N6" i="18" s="1"/>
  <c r="M177" i="18"/>
  <c r="N177" i="18" s="1"/>
  <c r="M45" i="18"/>
  <c r="N45" i="18" s="1"/>
  <c r="M117" i="18"/>
  <c r="N117" i="18" s="1"/>
  <c r="M116" i="18"/>
  <c r="N116" i="18" s="1"/>
  <c r="M176" i="18"/>
  <c r="N176" i="18" s="1"/>
  <c r="M109" i="18"/>
  <c r="N109" i="18" s="1"/>
  <c r="M175" i="18" l="1"/>
  <c r="N175" i="18" s="1"/>
  <c r="M173" i="18" l="1"/>
  <c r="N173" i="18" s="1"/>
  <c r="M161" i="18" l="1"/>
  <c r="N161" i="18" s="1"/>
  <c r="I2" i="17" l="1"/>
  <c r="I3" i="17"/>
  <c r="I4" i="17"/>
  <c r="I5" i="17"/>
  <c r="M2" i="18" l="1"/>
  <c r="N2" i="18" s="1"/>
  <c r="M3" i="18"/>
  <c r="N3" i="18" s="1"/>
  <c r="M85" i="18"/>
  <c r="N85" i="18" s="1"/>
  <c r="M11" i="18"/>
  <c r="N11" i="18" s="1"/>
  <c r="M180" i="18"/>
  <c r="N180" i="18" s="1"/>
  <c r="M181" i="18"/>
  <c r="N181" i="18" s="1"/>
  <c r="M10" i="18"/>
  <c r="N10" i="18" s="1"/>
  <c r="M121" i="18"/>
  <c r="N121" i="18" s="1"/>
  <c r="M48" i="18"/>
  <c r="N48" i="18" s="1"/>
  <c r="M12" i="18"/>
  <c r="N12" i="18" s="1"/>
  <c r="M18" i="18"/>
  <c r="N18" i="18" s="1"/>
  <c r="M19" i="18"/>
  <c r="N19" i="18" s="1"/>
  <c r="M37" i="18"/>
  <c r="N37" i="18" s="1"/>
  <c r="M20" i="18"/>
  <c r="N20" i="18" s="1"/>
  <c r="M38" i="18"/>
  <c r="N38" i="18" s="1"/>
  <c r="M39" i="18"/>
  <c r="N39" i="18" s="1"/>
  <c r="M182" i="18"/>
  <c r="N182" i="18" s="1"/>
  <c r="M33" i="18"/>
  <c r="N33" i="18" s="1"/>
  <c r="M13" i="18"/>
  <c r="N13" i="18" s="1"/>
  <c r="M184" i="18"/>
  <c r="N184" i="18" s="1"/>
  <c r="M28" i="18"/>
  <c r="N28" i="18" s="1"/>
  <c r="M185" i="18"/>
  <c r="N185" i="18" s="1"/>
  <c r="M186" i="18"/>
  <c r="N186" i="18" s="1"/>
  <c r="M25" i="18"/>
  <c r="N25" i="18" s="1"/>
  <c r="M187" i="18"/>
  <c r="N187" i="18" s="1"/>
  <c r="M8" i="18"/>
  <c r="N8" i="18" s="1"/>
  <c r="M5" i="18"/>
  <c r="N5" i="18" s="1"/>
  <c r="M281" i="18"/>
  <c r="N281" i="18" s="1"/>
  <c r="M88" i="18"/>
  <c r="N88" i="18" s="1"/>
  <c r="M7" i="18"/>
  <c r="N7" i="18" s="1"/>
  <c r="M189" i="18"/>
  <c r="N189" i="18" s="1"/>
  <c r="M190" i="18"/>
  <c r="N190" i="18" s="1"/>
  <c r="M191" i="18"/>
  <c r="N191" i="18" s="1"/>
  <c r="M192" i="18"/>
  <c r="N192" i="18" s="1"/>
  <c r="M106" i="18"/>
  <c r="N106" i="18" s="1"/>
  <c r="M193" i="18"/>
  <c r="N193" i="18" s="1"/>
  <c r="M65" i="18"/>
  <c r="N65" i="18" s="1"/>
  <c r="M27" i="18"/>
  <c r="N27" i="18" s="1"/>
  <c r="M14" i="18"/>
  <c r="N14" i="18" s="1"/>
  <c r="M90" i="18"/>
  <c r="N90" i="18" s="1"/>
  <c r="M194" i="18"/>
  <c r="N194" i="18" s="1"/>
  <c r="M123" i="18"/>
  <c r="N123" i="18" s="1"/>
  <c r="M124" i="18"/>
  <c r="N124" i="18" s="1"/>
  <c r="M195" i="18"/>
  <c r="N195" i="18" s="1"/>
  <c r="M22" i="18"/>
  <c r="N22" i="18" s="1"/>
  <c r="M91" i="18"/>
  <c r="N91" i="18" s="1"/>
  <c r="M197" i="18"/>
  <c r="N197" i="18" s="1"/>
  <c r="M66" i="18"/>
  <c r="N66" i="18" s="1"/>
  <c r="M67" i="18"/>
  <c r="N67" i="18" s="1"/>
  <c r="M76" i="18"/>
  <c r="N76" i="18" s="1"/>
  <c r="M40" i="18"/>
  <c r="N40" i="18" s="1"/>
  <c r="M160" i="18"/>
  <c r="N160" i="18" s="1"/>
  <c r="M125" i="18"/>
  <c r="N125" i="18" s="1"/>
  <c r="M126" i="18"/>
  <c r="N126" i="18" s="1"/>
  <c r="M127" i="18"/>
  <c r="N127" i="18" s="1"/>
  <c r="M122" i="18"/>
  <c r="N122" i="18" s="1"/>
  <c r="M200" i="18"/>
  <c r="N200" i="18" s="1"/>
  <c r="M201" i="18"/>
  <c r="N201" i="18" s="1"/>
  <c r="M29" i="18"/>
  <c r="N29" i="18" s="1"/>
  <c r="M42" i="18"/>
  <c r="N42" i="18" s="1"/>
  <c r="M68" i="18"/>
  <c r="N68" i="18" s="1"/>
  <c r="M128" i="18"/>
  <c r="N128" i="18" s="1"/>
  <c r="M92" i="18"/>
  <c r="N92" i="18" s="1"/>
  <c r="M202" i="18"/>
  <c r="N202" i="18" s="1"/>
  <c r="M203" i="18"/>
  <c r="N203" i="18" s="1"/>
  <c r="M204" i="18"/>
  <c r="N204" i="18" s="1"/>
  <c r="M93" i="18"/>
  <c r="N93" i="18" s="1"/>
  <c r="M129" i="18"/>
  <c r="N129" i="18" s="1"/>
  <c r="M130" i="18"/>
  <c r="N130" i="18" s="1"/>
  <c r="M131" i="18"/>
  <c r="N131" i="18" s="1"/>
  <c r="M49" i="18"/>
  <c r="N49" i="18" s="1"/>
  <c r="M50" i="18"/>
  <c r="N50" i="18" s="1"/>
  <c r="M94" i="18"/>
  <c r="N94" i="18" s="1"/>
  <c r="M132" i="18"/>
  <c r="N132" i="18" s="1"/>
  <c r="M69" i="18"/>
  <c r="N69" i="18" s="1"/>
  <c r="M205" i="18"/>
  <c r="N205" i="18" s="1"/>
  <c r="M206" i="18"/>
  <c r="N206" i="18" s="1"/>
  <c r="M207" i="18"/>
  <c r="N207" i="18" s="1"/>
  <c r="M43" i="18"/>
  <c r="N43" i="18" s="1"/>
  <c r="M133" i="18"/>
  <c r="N133" i="18" s="1"/>
  <c r="M134" i="18"/>
  <c r="N134" i="18" s="1"/>
  <c r="M135" i="18"/>
  <c r="N135" i="18" s="1"/>
  <c r="M70" i="18"/>
  <c r="N70" i="18" s="1"/>
  <c r="M95" i="18"/>
  <c r="N95" i="18" s="1"/>
  <c r="M96" i="18"/>
  <c r="N96" i="18" s="1"/>
  <c r="M208" i="18"/>
  <c r="N208" i="18" s="1"/>
  <c r="M51" i="18"/>
  <c r="N51" i="18" s="1"/>
  <c r="M97" i="18"/>
  <c r="N97" i="18" s="1"/>
  <c r="M71" i="18"/>
  <c r="N71" i="18" s="1"/>
  <c r="M209" i="18"/>
  <c r="N209" i="18" s="1"/>
  <c r="M9" i="18"/>
  <c r="N9" i="18" s="1"/>
  <c r="M210" i="18"/>
  <c r="N210" i="18" s="1"/>
  <c r="M211" i="18"/>
  <c r="N211" i="18" s="1"/>
  <c r="M137" i="18"/>
  <c r="N137" i="18" s="1"/>
  <c r="M138" i="18"/>
  <c r="N138" i="18" s="1"/>
  <c r="M212" i="18"/>
  <c r="N212" i="18" s="1"/>
  <c r="M98" i="18"/>
  <c r="N98" i="18" s="1"/>
  <c r="M179" i="18"/>
  <c r="N179" i="18" s="1"/>
  <c r="M213" i="18"/>
  <c r="N213" i="18" s="1"/>
  <c r="M214" i="18"/>
  <c r="N214" i="18" s="1"/>
  <c r="M99" i="18"/>
  <c r="N99" i="18" s="1"/>
  <c r="M140" i="18"/>
  <c r="N140" i="18" s="1"/>
  <c r="M120" i="18"/>
  <c r="N120" i="18" s="1"/>
  <c r="M16" i="18"/>
  <c r="N16" i="18" s="1"/>
  <c r="M15" i="18"/>
  <c r="N15" i="18" s="1"/>
  <c r="M61" i="18"/>
  <c r="N61" i="18" s="1"/>
  <c r="M84" i="18"/>
  <c r="N84" i="18" s="1"/>
  <c r="M217" i="18"/>
  <c r="N217" i="18" s="1"/>
  <c r="M218" i="18"/>
  <c r="N218" i="18" s="1"/>
  <c r="M188" i="18"/>
  <c r="N188" i="18" s="1"/>
  <c r="M142" i="18"/>
  <c r="N142" i="18" s="1"/>
  <c r="M52" i="18"/>
  <c r="N52" i="18" s="1"/>
  <c r="M73" i="18"/>
  <c r="N73" i="18" s="1"/>
  <c r="M41" i="18"/>
  <c r="N41" i="18" s="1"/>
  <c r="M169" i="18"/>
  <c r="N169" i="18" s="1"/>
  <c r="M31" i="18"/>
  <c r="N31" i="18" s="1"/>
  <c r="M100" i="18"/>
  <c r="N100" i="18" s="1"/>
  <c r="M144" i="18"/>
  <c r="N144" i="18" s="1"/>
  <c r="M220" i="18"/>
  <c r="N220" i="18" s="1"/>
  <c r="M221" i="18"/>
  <c r="N221" i="18" s="1"/>
  <c r="M30" i="18"/>
  <c r="N30" i="18" s="1"/>
  <c r="M268" i="18"/>
  <c r="N268" i="18" s="1"/>
  <c r="M145" i="18"/>
  <c r="N145" i="18" s="1"/>
  <c r="M223" i="18"/>
  <c r="N223" i="18" s="1"/>
  <c r="M158" i="18"/>
  <c r="N158" i="18" s="1"/>
  <c r="M224" i="18"/>
  <c r="N224" i="18" s="1"/>
  <c r="M87" i="18"/>
  <c r="N87" i="18" s="1"/>
  <c r="M226" i="18"/>
  <c r="N226" i="18" s="1"/>
  <c r="M62" i="18"/>
  <c r="N62" i="18" s="1"/>
  <c r="M32" i="18"/>
  <c r="N32" i="18" s="1"/>
  <c r="M89" i="18"/>
  <c r="N89" i="18" s="1"/>
  <c r="M229" i="18"/>
  <c r="N229" i="18" s="1"/>
  <c r="M315" i="18"/>
  <c r="N315" i="18" s="1"/>
  <c r="M114" i="18"/>
  <c r="N114" i="18" s="1"/>
  <c r="M44" i="18"/>
  <c r="N44" i="18" s="1"/>
  <c r="M101" i="18"/>
  <c r="N101" i="18" s="1"/>
  <c r="M75" i="18"/>
  <c r="N75" i="18" s="1"/>
  <c r="M232" i="18"/>
  <c r="N232" i="18" s="1"/>
  <c r="M246" i="18"/>
  <c r="N246" i="18" s="1"/>
  <c r="M146" i="18"/>
  <c r="N146" i="18" s="1"/>
  <c r="M147" i="18"/>
  <c r="N147" i="18" s="1"/>
  <c r="M86" i="18"/>
  <c r="N86" i="18" s="1"/>
  <c r="M234" i="18"/>
  <c r="N234" i="18" s="1"/>
  <c r="M24" i="18"/>
  <c r="N24" i="18" s="1"/>
  <c r="M53" i="18"/>
  <c r="N53" i="18" s="1"/>
  <c r="M56" i="18"/>
  <c r="N56" i="18" s="1"/>
  <c r="M285" i="18"/>
  <c r="N285" i="18" s="1"/>
  <c r="M102" i="18"/>
  <c r="N102" i="18" s="1"/>
  <c r="M237" i="18"/>
  <c r="N237" i="18" s="1"/>
  <c r="M149" i="18"/>
  <c r="N149" i="18" s="1"/>
  <c r="M238" i="18"/>
  <c r="N238" i="18" s="1"/>
  <c r="M239" i="18"/>
  <c r="N239" i="18" s="1"/>
  <c r="M240" i="18"/>
  <c r="N240" i="18" s="1"/>
  <c r="M241" i="18"/>
  <c r="N241" i="18" s="1"/>
  <c r="M242" i="18"/>
  <c r="N242" i="18" s="1"/>
  <c r="M243" i="18"/>
  <c r="N243" i="18" s="1"/>
  <c r="M244" i="18"/>
  <c r="N244" i="18" s="1"/>
  <c r="M245" i="18"/>
  <c r="N245" i="18" s="1"/>
  <c r="M47" i="18"/>
  <c r="N47" i="18" s="1"/>
  <c r="M55" i="18"/>
  <c r="N55" i="18" s="1"/>
  <c r="M34" i="18"/>
  <c r="N34" i="18" s="1"/>
  <c r="M35" i="18"/>
  <c r="N35" i="18" s="1"/>
  <c r="M236" i="18"/>
  <c r="N236" i="18" s="1"/>
  <c r="M247" i="18"/>
  <c r="N247" i="18" s="1"/>
  <c r="M248" i="18"/>
  <c r="N248" i="18" s="1"/>
  <c r="M63" i="18"/>
  <c r="N63" i="18" s="1"/>
  <c r="M249" i="18"/>
  <c r="N249" i="18" s="1"/>
  <c r="M250" i="18"/>
  <c r="N250" i="18" s="1"/>
  <c r="M103" i="18"/>
  <c r="N103" i="18" s="1"/>
  <c r="M150" i="18"/>
  <c r="N150" i="18" s="1"/>
  <c r="M198" i="18"/>
  <c r="N198" i="18" s="1"/>
  <c r="M46" i="18"/>
  <c r="N46" i="18" s="1"/>
  <c r="M251" i="18"/>
  <c r="N251" i="18" s="1"/>
  <c r="M252" i="18"/>
  <c r="N252" i="18" s="1"/>
  <c r="M78" i="18"/>
  <c r="N78" i="18" s="1"/>
  <c r="M253" i="18"/>
  <c r="N253" i="18" s="1"/>
  <c r="M254" i="18"/>
  <c r="N254" i="18" s="1"/>
  <c r="M255" i="18"/>
  <c r="N255" i="18" s="1"/>
  <c r="M77" i="18"/>
  <c r="N77" i="18" s="1"/>
  <c r="M256" i="18"/>
  <c r="N256" i="18" s="1"/>
  <c r="M104" i="18"/>
  <c r="N104" i="18" s="1"/>
  <c r="M153" i="18"/>
  <c r="N153" i="18" s="1"/>
  <c r="M225" i="18"/>
  <c r="N225" i="18" s="1"/>
  <c r="M21" i="18"/>
  <c r="N21" i="18" s="1"/>
  <c r="M154" i="18"/>
  <c r="N154" i="18" s="1"/>
  <c r="M155" i="18"/>
  <c r="N155" i="18" s="1"/>
  <c r="M259" i="18"/>
  <c r="N259" i="18" s="1"/>
  <c r="M260" i="18"/>
  <c r="N260" i="18" s="1"/>
  <c r="M105" i="18"/>
  <c r="N105" i="18" s="1"/>
  <c r="M60" i="18"/>
  <c r="N60" i="18" s="1"/>
  <c r="M216" i="18"/>
  <c r="N216" i="18" s="1"/>
  <c r="M233" i="18"/>
  <c r="N233" i="18" s="1"/>
  <c r="M311" i="18"/>
  <c r="N311" i="18" s="1"/>
  <c r="M262" i="18"/>
  <c r="N262" i="18" s="1"/>
  <c r="M263" i="18"/>
  <c r="N263" i="18" s="1"/>
  <c r="M156" i="18"/>
  <c r="N156" i="18" s="1"/>
  <c r="M258" i="18"/>
  <c r="N258" i="18" s="1"/>
  <c r="M151" i="18"/>
  <c r="N151" i="18" s="1"/>
  <c r="M157" i="18"/>
  <c r="N157" i="18" s="1"/>
  <c r="M107" i="18"/>
  <c r="N107" i="18" s="1"/>
  <c r="M72" i="18"/>
  <c r="N72" i="18" s="1"/>
  <c r="M23" i="18"/>
  <c r="N23" i="18" s="1"/>
  <c r="M265" i="18"/>
  <c r="N265" i="18" s="1"/>
  <c r="M168" i="18"/>
  <c r="N168" i="18" s="1"/>
  <c r="M267" i="18"/>
  <c r="N267" i="18" s="1"/>
  <c r="M57" i="18"/>
  <c r="N57" i="18" s="1"/>
  <c r="M58" i="18"/>
  <c r="N58" i="18" s="1"/>
  <c r="M54" i="18"/>
  <c r="N54" i="18" s="1"/>
  <c r="M108" i="18"/>
  <c r="N108" i="18" s="1"/>
  <c r="M300" i="18"/>
  <c r="N300" i="18" s="1"/>
  <c r="M269" i="18"/>
  <c r="N269" i="18" s="1"/>
  <c r="M159" i="18"/>
  <c r="N159" i="18" s="1"/>
  <c r="M162" i="18"/>
  <c r="N162" i="18" s="1"/>
  <c r="M183" i="18"/>
  <c r="N183" i="18" s="1"/>
  <c r="M231" i="18"/>
  <c r="N231" i="18" s="1"/>
  <c r="M271" i="18"/>
  <c r="N271" i="18" s="1"/>
  <c r="M272" i="18"/>
  <c r="N272" i="18" s="1"/>
  <c r="M273" i="18"/>
  <c r="N273" i="18" s="1"/>
  <c r="M274" i="18"/>
  <c r="N274" i="18" s="1"/>
  <c r="M164" i="18"/>
  <c r="N164" i="18" s="1"/>
  <c r="M257" i="18"/>
  <c r="N257" i="18" s="1"/>
  <c r="M275" i="18"/>
  <c r="N275" i="18" s="1"/>
  <c r="M276" i="18"/>
  <c r="N276" i="18" s="1"/>
  <c r="M136" i="18"/>
  <c r="N136" i="18" s="1"/>
  <c r="M110" i="18"/>
  <c r="N110" i="18" s="1"/>
  <c r="M235" i="18"/>
  <c r="N235" i="18" s="1"/>
  <c r="M199" i="18"/>
  <c r="N199" i="18" s="1"/>
  <c r="M139" i="18"/>
  <c r="N139" i="18" s="1"/>
  <c r="M316" i="18"/>
  <c r="N316" i="18" s="1"/>
  <c r="M278" i="18"/>
  <c r="N278" i="18" s="1"/>
  <c r="M111" i="18"/>
  <c r="N111" i="18" s="1"/>
  <c r="M279" i="18"/>
  <c r="N279" i="18" s="1"/>
  <c r="M163" i="18"/>
  <c r="N163" i="18" s="1"/>
  <c r="M280" i="18"/>
  <c r="N280" i="18" s="1"/>
  <c r="M79" i="18"/>
  <c r="N79" i="18" s="1"/>
  <c r="M314" i="18"/>
  <c r="N314" i="18" s="1"/>
  <c r="M83" i="18"/>
  <c r="N83" i="18" s="1"/>
  <c r="M283" i="18"/>
  <c r="N283" i="18" s="1"/>
  <c r="M228" i="18"/>
  <c r="N228" i="18" s="1"/>
  <c r="M80" i="18"/>
  <c r="N80" i="18" s="1"/>
  <c r="M59" i="18"/>
  <c r="N59" i="18" s="1"/>
  <c r="M165" i="18"/>
  <c r="N165" i="18" s="1"/>
  <c r="M81" i="18"/>
  <c r="N81" i="18" s="1"/>
  <c r="M26" i="18"/>
  <c r="N26" i="18" s="1"/>
  <c r="M74" i="18"/>
  <c r="N74" i="18" s="1"/>
  <c r="M82" i="18"/>
  <c r="N82" i="18" s="1"/>
  <c r="M286" i="18"/>
  <c r="N286" i="18" s="1"/>
  <c r="M287" i="18"/>
  <c r="N287" i="18" s="1"/>
  <c r="M288" i="18"/>
  <c r="N288" i="18" s="1"/>
  <c r="M289" i="18"/>
  <c r="N289" i="18" s="1"/>
  <c r="M290" i="18"/>
  <c r="N290" i="18" s="1"/>
  <c r="M291" i="18"/>
  <c r="N291" i="18" s="1"/>
  <c r="M292" i="18"/>
  <c r="N292" i="18" s="1"/>
  <c r="M293" i="18"/>
  <c r="N293" i="18" s="1"/>
  <c r="M294" i="18"/>
  <c r="N294" i="18" s="1"/>
  <c r="M295" i="18"/>
  <c r="N295" i="18" s="1"/>
  <c r="M296" i="18"/>
  <c r="N296" i="18" s="1"/>
  <c r="M113" i="18"/>
  <c r="N113" i="18" s="1"/>
  <c r="M297" i="18"/>
  <c r="N297" i="18" s="1"/>
  <c r="M4" i="18"/>
  <c r="N4" i="18" s="1"/>
  <c r="M166" i="18"/>
  <c r="N166" i="18" s="1"/>
  <c r="M298" i="18"/>
  <c r="N298" i="18" s="1"/>
  <c r="M306" i="18"/>
  <c r="N306" i="18" s="1"/>
  <c r="M215" i="18"/>
  <c r="N215" i="18" s="1"/>
  <c r="M299" i="18"/>
  <c r="N299" i="18" s="1"/>
  <c r="M172" i="18"/>
  <c r="N172" i="18" s="1"/>
  <c r="M167" i="18"/>
  <c r="N167" i="18" s="1"/>
  <c r="M302" i="18"/>
  <c r="N302" i="18" s="1"/>
  <c r="M303" i="18"/>
  <c r="N303" i="18" s="1"/>
  <c r="M304" i="18"/>
  <c r="N304" i="18" s="1"/>
  <c r="M305" i="18"/>
  <c r="N305" i="18" s="1"/>
  <c r="M196" i="18"/>
  <c r="N196" i="18" s="1"/>
  <c r="M270" i="18"/>
  <c r="N270" i="18" s="1"/>
  <c r="M277" i="18"/>
  <c r="N277" i="18" s="1"/>
  <c r="M307" i="18"/>
  <c r="N307" i="18" s="1"/>
  <c r="M227" i="18"/>
  <c r="N227" i="18" s="1"/>
  <c r="M308" i="18"/>
  <c r="N308" i="18" s="1"/>
  <c r="M284" i="18"/>
  <c r="N284" i="18" s="1"/>
  <c r="M282" i="18"/>
  <c r="N282" i="18" s="1"/>
  <c r="M310" i="18"/>
  <c r="N310" i="18" s="1"/>
  <c r="M170" i="18"/>
  <c r="N170" i="18" s="1"/>
  <c r="M119" i="18"/>
  <c r="N119" i="18" s="1"/>
  <c r="M141" i="18"/>
  <c r="N141" i="18" s="1"/>
  <c r="M222" i="18"/>
  <c r="N222" i="18" s="1"/>
  <c r="M266" i="18"/>
  <c r="N266" i="18" s="1"/>
  <c r="M312" i="18"/>
  <c r="N312" i="18" s="1"/>
  <c r="M115" i="18"/>
  <c r="N115" i="18" s="1"/>
  <c r="M313" i="18"/>
  <c r="N313" i="18" s="1"/>
  <c r="M309" i="18"/>
  <c r="N309" i="18" s="1"/>
  <c r="M219" i="18"/>
  <c r="N219" i="18" s="1"/>
  <c r="M230" i="18"/>
  <c r="N230" i="18" s="1"/>
  <c r="M152" i="18"/>
  <c r="N152" i="18" s="1"/>
  <c r="M264" i="18"/>
  <c r="N264" i="18" s="1"/>
  <c r="M171" i="18"/>
  <c r="N171" i="18" s="1"/>
  <c r="M261" i="18"/>
  <c r="N261" i="18" s="1"/>
  <c r="M143" i="18"/>
  <c r="N143" i="18" s="1"/>
  <c r="M17" i="18"/>
  <c r="N17" i="18" s="1"/>
</calcChain>
</file>

<file path=xl/sharedStrings.xml><?xml version="1.0" encoding="utf-8"?>
<sst xmlns="http://schemas.openxmlformats.org/spreadsheetml/2006/main" count="1020" uniqueCount="505">
  <si>
    <t>FATC BEHR Falcon4</t>
  </si>
  <si>
    <t>EMS Bosch XETA Cube Falcon4</t>
  </si>
  <si>
    <t>U015131</t>
  </si>
  <si>
    <t>IPC Pricol PV</t>
  </si>
  <si>
    <t>U015108</t>
  </si>
  <si>
    <t>BCM Hella</t>
  </si>
  <si>
    <t>NO DTC PRESENT</t>
  </si>
  <si>
    <t>VECU Bosch 1.0</t>
  </si>
  <si>
    <t>P304063</t>
  </si>
  <si>
    <t>P301F13</t>
  </si>
  <si>
    <t>U132408</t>
  </si>
  <si>
    <t>P302664</t>
  </si>
  <si>
    <t>PEPS Marquardt Osprey</t>
  </si>
  <si>
    <t>B132013</t>
  </si>
  <si>
    <t>Telematics Bosch PV</t>
  </si>
  <si>
    <t>P302613</t>
  </si>
  <si>
    <t>B164405</t>
  </si>
  <si>
    <t>ECU Communication Failed</t>
  </si>
  <si>
    <t>Fill in Process Byte NOK</t>
  </si>
  <si>
    <t>Telematics MMI 1.0</t>
  </si>
  <si>
    <t>AirBag Bosch AB12</t>
  </si>
  <si>
    <t>B192D15</t>
  </si>
  <si>
    <t>B165105</t>
  </si>
  <si>
    <t>IHU Visteon MID</t>
  </si>
  <si>
    <t>B1C5913</t>
  </si>
  <si>
    <t>U010008</t>
  </si>
  <si>
    <t>B1C4B13</t>
  </si>
  <si>
    <t>B220415</t>
  </si>
  <si>
    <t>B224C1D</t>
  </si>
  <si>
    <t>B1C0E13</t>
  </si>
  <si>
    <t>TCU Magnetti Marreili Nano</t>
  </si>
  <si>
    <t>U130E08</t>
  </si>
  <si>
    <t>EPAS MANDO PV</t>
  </si>
  <si>
    <t>P30AA68</t>
  </si>
  <si>
    <t>P30B816</t>
  </si>
  <si>
    <t>P30B415</t>
  </si>
  <si>
    <t>P30B615</t>
  </si>
  <si>
    <t>P051305</t>
  </si>
  <si>
    <t>B00011A</t>
  </si>
  <si>
    <t>B1F3E54</t>
  </si>
  <si>
    <t>U016408</t>
  </si>
  <si>
    <t>Accelarator Test Failed</t>
  </si>
  <si>
    <t>B1C5E13</t>
  </si>
  <si>
    <t>ABS Bosch 9.3</t>
  </si>
  <si>
    <t>B163906</t>
  </si>
  <si>
    <t>C132900</t>
  </si>
  <si>
    <t>P009013</t>
  </si>
  <si>
    <t>U040181</t>
  </si>
  <si>
    <t>ECU Start Diagnostics Failed</t>
  </si>
  <si>
    <t>Number of Key Paired Status Reading Failed</t>
  </si>
  <si>
    <t>IBS Not Learnt</t>
  </si>
  <si>
    <t>B190B15</t>
  </si>
  <si>
    <t>P301E13</t>
  </si>
  <si>
    <t>B22291D</t>
  </si>
  <si>
    <t>P302813</t>
  </si>
  <si>
    <t>B1F1F15</t>
  </si>
  <si>
    <t>B164554</t>
  </si>
  <si>
    <t>P290502</t>
  </si>
  <si>
    <t>PDC Sensor Calibration Failed</t>
  </si>
  <si>
    <t>B1C0413</t>
  </si>
  <si>
    <t>Actuator Motor Calibration Routine Failed</t>
  </si>
  <si>
    <t>Brake Pedal Test Failed</t>
  </si>
  <si>
    <t>P001013</t>
  </si>
  <si>
    <t>P001313</t>
  </si>
  <si>
    <t>C003714</t>
  </si>
  <si>
    <t>DTC</t>
  </si>
  <si>
    <t>ECU</t>
  </si>
  <si>
    <t>DTC DISCRIPTION</t>
  </si>
  <si>
    <t>No Transponder Key Pairing Done – System Programming Failures</t>
  </si>
  <si>
    <t>Microphone Signal Input circuit open</t>
  </si>
  <si>
    <t>Right Turn Indicator Partial bulb out Either Front Right or Rear Right Turn indicator bulb is open circuit</t>
  </si>
  <si>
    <t>Tuning set variant is not selected</t>
  </si>
  <si>
    <t>AC Linear Pressure Sensor value input to VECU - circuit voltage below threshold</t>
  </si>
  <si>
    <t xml:space="preserve">Combined High Beam Circuit short to Battery or open </t>
  </si>
  <si>
    <t xml:space="preserve">Partial Transponder Key Pairing Done - System Programming Failures </t>
  </si>
  <si>
    <t>Battery cooling chiller solenoid valve activation line - circuit open</t>
  </si>
  <si>
    <t>Cabin cooling Evaporator solenoid valve activation line - circuit open</t>
  </si>
  <si>
    <t>Incorrect Immobilizer Key system Programming Failures</t>
  </si>
  <si>
    <t>GPS Signal Circuit Open</t>
  </si>
  <si>
    <t>IHU</t>
  </si>
  <si>
    <t>EMS Bosch</t>
  </si>
  <si>
    <t>ESP/ABS</t>
  </si>
  <si>
    <t>EMS/TCU</t>
  </si>
  <si>
    <t>Lost communication with restraints Control Module(SRS) Bus Signal/Message failures</t>
  </si>
  <si>
    <t>AM/FM/DRM/DAB Antenna signal-circuit open</t>
  </si>
  <si>
    <t>Buzzer output line DTC – Circuit short to Battery or Open</t>
  </si>
  <si>
    <t>PDU HVIL Sense PWM circuit open</t>
  </si>
  <si>
    <t>DCDC Fault CAN signal received by VECU event information</t>
  </si>
  <si>
    <t>Lost Communication with Rain Light Sensor (RLS) - Bus signal/Message Failure</t>
  </si>
  <si>
    <t xml:space="preserve">Module ECM/PCM &amp; BCM handshake failed - Algorithm Based Failures </t>
  </si>
  <si>
    <t>Driver Side Temperature Door Control Motor Calibration Fault</t>
  </si>
  <si>
    <t>Left Turn Indicator Partial bulb out. EitherForant Left Or Rear Left Turn Indicator bulb is open Circuit</t>
  </si>
  <si>
    <t>Driver Side Air Temperature Feedback Signal - Circuit Short to Battery or Open</t>
  </si>
  <si>
    <t>Description not available</t>
  </si>
  <si>
    <t>LVDC connection circuit open</t>
  </si>
  <si>
    <t>BCM Hella/EMS Bosch</t>
  </si>
  <si>
    <t>B1F1B15</t>
  </si>
  <si>
    <t>ECU VIN NUMBER MISMATCH</t>
  </si>
  <si>
    <t xml:space="preserve">VEHICLE NOT SHIFTED IN REVERSE GEAR WITHIN A SPECIFTC TIME </t>
  </si>
  <si>
    <t>TCU Magnetti</t>
  </si>
  <si>
    <t>Drive signal for Back Antenna- circuit open</t>
  </si>
  <si>
    <t>C003712</t>
  </si>
  <si>
    <t>AC Charging Inlet Temperature Sensor on line Connection circuit Short to Battery or Open</t>
  </si>
  <si>
    <t>Rear left wheel speed sensor open/short to GND</t>
  </si>
  <si>
    <t>Mar'25</t>
  </si>
  <si>
    <t>Solar radiation sensor signal-circuit short to battery or open</t>
  </si>
  <si>
    <t>Left rear wheel speed sensor circuit short to Battery</t>
  </si>
  <si>
    <t>AC Charging Inlet temperature Sensor on Netural connection circuit short to battery or open</t>
  </si>
  <si>
    <t>IPC Pricol PV/FATC</t>
  </si>
  <si>
    <t>Invalid Data Received From Engine Control Module - invalid serial data received</t>
  </si>
  <si>
    <t xml:space="preserve">Driver Airbag Deployment Control - circuit resistance below threshold </t>
  </si>
  <si>
    <t>Vehicle HVIL Sense PWM circuit open</t>
  </si>
  <si>
    <t>Input Switch Test Routine Status Read Failed</t>
  </si>
  <si>
    <t>TPMS</t>
  </si>
  <si>
    <t>Apr'25</t>
  </si>
  <si>
    <t>C003414</t>
  </si>
  <si>
    <t xml:space="preserve">Gear Box Engage Faild </t>
  </si>
  <si>
    <t>Front Right Wheel Speed Sensor Open / Short to ground</t>
  </si>
  <si>
    <t>AC and heater function is affected(HVAC CAN messages are not received at VECU)</t>
  </si>
  <si>
    <t>Ambient Air Temperature Sensor input circuit short to Battery or open</t>
  </si>
  <si>
    <t>Air bag system the error is reported when the CAN msg SRS is not received within the time duration-No signal</t>
  </si>
  <si>
    <t>Switches Not Pressed Routine Status Read Failed</t>
  </si>
  <si>
    <t>VC No Parameter Reading Failed</t>
  </si>
  <si>
    <t>Drive Mode Switch Status NOK</t>
  </si>
  <si>
    <t>Vaccum Pump - circuit / component protection time-out</t>
  </si>
  <si>
    <t>Up to 10th May'25</t>
  </si>
  <si>
    <t>U132C08</t>
  </si>
  <si>
    <t>Lost communication with gear selector switch module Bus Signal</t>
  </si>
  <si>
    <t>P302D86</t>
  </si>
  <si>
    <t>P303386</t>
  </si>
  <si>
    <t>HV Battery Cooling Pump -Low fluid level</t>
  </si>
  <si>
    <t>Traction cooling pump- low fluid level</t>
  </si>
  <si>
    <t>P300815</t>
  </si>
  <si>
    <t xml:space="preserve">power distribution unit positive bushbar thermistor circuit short to battery </t>
  </si>
  <si>
    <t>C004012</t>
  </si>
  <si>
    <t>P303F13</t>
  </si>
  <si>
    <t>Telematics ECU Hardware Wakeup activation line - circuit open</t>
  </si>
  <si>
    <t>IHU Harman</t>
  </si>
  <si>
    <t>Steering wheel Controls Parameter reading failed</t>
  </si>
  <si>
    <t>Clutch pedal teat failed</t>
  </si>
  <si>
    <t>B164B14</t>
  </si>
  <si>
    <t>Crank relay feedback circuit short to ground or open</t>
  </si>
  <si>
    <t>U016431</t>
  </si>
  <si>
    <t>Lost communication nwith Hvac Control module no signal</t>
  </si>
  <si>
    <t>Lost communication with HVAC control mopdule BUS signal</t>
  </si>
  <si>
    <t>B1F3D54</t>
  </si>
  <si>
    <t>Air distribution Drive Motor Missing Calibration</t>
  </si>
  <si>
    <t>P304168</t>
  </si>
  <si>
    <t xml:space="preserve">VECU received BMS derate Flag CAN signal From BMS </t>
  </si>
  <si>
    <t>RVC/DMS Camera output Power circuit open</t>
  </si>
  <si>
    <t>P061513</t>
  </si>
  <si>
    <t>Starter Relay A circuit open</t>
  </si>
  <si>
    <t>Invalid Data received from TCM signal</t>
  </si>
  <si>
    <t>Diagonastic fault check for IBS node time out</t>
  </si>
  <si>
    <t>P071003</t>
  </si>
  <si>
    <t>External temprature signal not valid</t>
  </si>
  <si>
    <t>PEPS ECU missing callibration</t>
  </si>
  <si>
    <t>Air temprature drive motor missing calibration</t>
  </si>
  <si>
    <t>Evaporator temprature sensor signal circuit short to battery open</t>
  </si>
  <si>
    <t>B1F2315</t>
  </si>
  <si>
    <t>P30B015</t>
  </si>
  <si>
    <t>Regan Switch sensor input to VECU circuit short to battery or open</t>
  </si>
  <si>
    <t>U010108</t>
  </si>
  <si>
    <t>Lost communication with TCM BUS siganl</t>
  </si>
  <si>
    <t>U100816</t>
  </si>
  <si>
    <t>Control module input power 1 circuit voltage below threshold</t>
  </si>
  <si>
    <t>Software version number mismatch</t>
  </si>
  <si>
    <t>P1C0615</t>
  </si>
  <si>
    <t>Neutral gear sensor voltage not plausible high circuit short to battery open</t>
  </si>
  <si>
    <t>U300616</t>
  </si>
  <si>
    <t>U003713</t>
  </si>
  <si>
    <t>Vehicle communication BUS B circuit open</t>
  </si>
  <si>
    <t>LVDS connector circuit open</t>
  </si>
  <si>
    <t>Accessory delay signal circuit short to ground</t>
  </si>
  <si>
    <t>B1F0011</t>
  </si>
  <si>
    <t>Crank Relay feedback-circuit short to ground open</t>
  </si>
  <si>
    <t>ESCL Marquardt  Osprey</t>
  </si>
  <si>
    <t>U161781</t>
  </si>
  <si>
    <t>Invalid data received from PEPS invalid serial data received</t>
  </si>
  <si>
    <t>Lost communication with ECM/PCM A BUS signal/message failure</t>
  </si>
  <si>
    <t>Reverse reading failed</t>
  </si>
  <si>
    <t>AES key mismatch</t>
  </si>
  <si>
    <t>B00211B</t>
  </si>
  <si>
    <t>B00201B</t>
  </si>
  <si>
    <t>Passenger retractor pretensioner deployment control circuit resistance above threshold</t>
  </si>
  <si>
    <t>B00721B</t>
  </si>
  <si>
    <t>B00d514</t>
  </si>
  <si>
    <t>Restraint system passenger airbag indicator circuit short to ground</t>
  </si>
  <si>
    <t>Hardwired wakeup input circuit short to battery</t>
  </si>
  <si>
    <t>B132212</t>
  </si>
  <si>
    <t>B164A14</t>
  </si>
  <si>
    <t xml:space="preserve">IGN relay feedback circuit short to ground </t>
  </si>
  <si>
    <t>VIN number mismatch to ODH learning -incorrect component installed</t>
  </si>
  <si>
    <t>B193F4A</t>
  </si>
  <si>
    <t>P301785</t>
  </si>
  <si>
    <t>Gear lever sensors open circuit or S.C to vsupply</t>
  </si>
  <si>
    <t>P082002</t>
  </si>
  <si>
    <t>Eng stop req PlausErr of CAN received frame TCU - signal plausibility failure</t>
  </si>
  <si>
    <t>Emergency HW path failure- component Failures</t>
  </si>
  <si>
    <t>B226709</t>
  </si>
  <si>
    <t>Right stop lamp circuit short to battery</t>
  </si>
  <si>
    <t>B224A15</t>
  </si>
  <si>
    <t>ECU communication failed</t>
  </si>
  <si>
    <t>PTC Contractor low side activation line circuit open</t>
  </si>
  <si>
    <t>P302F13</t>
  </si>
  <si>
    <t>A Camshaft position Actuator A control circuit Open Bank 1 circuit open</t>
  </si>
  <si>
    <t>B camshaft position  Actuator A control circuit  Open Bank 1 circuit open</t>
  </si>
  <si>
    <t>Throttle Actuator Control Motor Circuit Range Perfomance circuit open</t>
  </si>
  <si>
    <t>P210113</t>
  </si>
  <si>
    <t>Fresh Air/Recirc dive motor missing calibration</t>
  </si>
  <si>
    <t>B1F3F54</t>
  </si>
  <si>
    <t>Low beam switch circuit short to battery</t>
  </si>
  <si>
    <t>B222D12</t>
  </si>
  <si>
    <t>Brake Switch B circuit short to ground or open</t>
  </si>
  <si>
    <t>P070314</t>
  </si>
  <si>
    <t>Gas pedal not valid</t>
  </si>
  <si>
    <t>P290302</t>
  </si>
  <si>
    <t>Mismatch in Algo and Sensor Configuration Algorithm Based Failure</t>
  </si>
  <si>
    <t>B103E06</t>
  </si>
  <si>
    <t>VECU PWM output line to Radiator fan controller circuit open</t>
  </si>
  <si>
    <t>P308113</t>
  </si>
  <si>
    <t>Door Lock Relay circuit short to ground or open</t>
  </si>
  <si>
    <t>B160914</t>
  </si>
  <si>
    <t>MCU Shanghai 1.0</t>
  </si>
  <si>
    <t>P130100</t>
  </si>
  <si>
    <t>HV under/over voltage fault</t>
  </si>
  <si>
    <t>Reverse gear selection switch circuit short to ground</t>
  </si>
  <si>
    <t>B250311</t>
  </si>
  <si>
    <t>Failed due to unsuccsssful flashing</t>
  </si>
  <si>
    <t>ESP Bosch 9.3</t>
  </si>
  <si>
    <t>CNG signal configuration parameter reading failed</t>
  </si>
  <si>
    <t>Read  DTC failed</t>
  </si>
  <si>
    <t>Before power latch universal clear DTC failed</t>
  </si>
  <si>
    <t>ECU software mismatch</t>
  </si>
  <si>
    <t>Sr No</t>
  </si>
  <si>
    <t>June'25 Cumm.</t>
  </si>
  <si>
    <t>Sr. No</t>
  </si>
  <si>
    <t>May'25</t>
  </si>
  <si>
    <t>Feb'25 (Started from 12th Feb'25)</t>
  </si>
  <si>
    <t>DC charging Inlet temprature sensor  signal above allowable range</t>
  </si>
  <si>
    <t>B10361B</t>
  </si>
  <si>
    <t>High Voltage Battery Disconnect Deployment Control Circui Resistance above threshold</t>
  </si>
  <si>
    <t>Parameter reading failed</t>
  </si>
  <si>
    <t>U13388</t>
  </si>
  <si>
    <t>LIN Bus B bus off</t>
  </si>
  <si>
    <t>Parameter Part number for infortainment head unit Parameter mismatch</t>
  </si>
  <si>
    <t>Interlock Charge Plug signal above allowable range</t>
  </si>
  <si>
    <t>P306285</t>
  </si>
  <si>
    <t>Combined switch failure component failure</t>
  </si>
  <si>
    <t>B225C09</t>
  </si>
  <si>
    <t>U132B08</t>
  </si>
  <si>
    <t>Lost Communication With Compressor Module Bus signal/Message failure</t>
  </si>
  <si>
    <t>B100C13</t>
  </si>
  <si>
    <t>Left side Right Periphenal sensor circuit open</t>
  </si>
  <si>
    <t>Front Deployment crash no sub type information</t>
  </si>
  <si>
    <t>B101014</t>
  </si>
  <si>
    <t xml:space="preserve">Invalid CAN node selection </t>
  </si>
  <si>
    <t>B10341B</t>
  </si>
  <si>
    <t>B10351B</t>
  </si>
  <si>
    <t>Passenger Seat Belt Anchor pretensioner Deployment Control Circuit Resistance above threshold</t>
  </si>
  <si>
    <t xml:space="preserve">Evaporator Emission system Purge Control valve circuit open </t>
  </si>
  <si>
    <t>P044413</t>
  </si>
  <si>
    <t>P010515</t>
  </si>
  <si>
    <t>Manifold Absolute pressure barometric pressure circuit high Circuit short to battery or open</t>
  </si>
  <si>
    <t>Crank Inhibit Starter Relay open Circuit circuit open</t>
  </si>
  <si>
    <t>P081713</t>
  </si>
  <si>
    <t>Intake Air temprature sensor 1 circuit low bank 1 Circuit short to battery open</t>
  </si>
  <si>
    <t>P011215</t>
  </si>
  <si>
    <t>Engine loss torque signal not valid</t>
  </si>
  <si>
    <t>P290603</t>
  </si>
  <si>
    <t>P290602</t>
  </si>
  <si>
    <t>Actual Engine torque Signal not valid wisher engine Torque</t>
  </si>
  <si>
    <t>Engine Maximum torque signal not valid</t>
  </si>
  <si>
    <t>P290702</t>
  </si>
  <si>
    <t>P290604</t>
  </si>
  <si>
    <t>Wished engine Torque signal not valid</t>
  </si>
  <si>
    <t xml:space="preserve">Hydraulic sensor pressure reading failed </t>
  </si>
  <si>
    <t>P217600</t>
  </si>
  <si>
    <t>Engine coolant  Temperature sensor 1 circuit low</t>
  </si>
  <si>
    <t>P011815</t>
  </si>
  <si>
    <t>Clear DTC failed</t>
  </si>
  <si>
    <t>BMS gotion 1.0</t>
  </si>
  <si>
    <t>Application Software Identification PEPS parameter Reading failed</t>
  </si>
  <si>
    <t>Brake Pedal sensor 2 circuit short to ground</t>
  </si>
  <si>
    <t>P300E15</t>
  </si>
  <si>
    <t>Fleet Vehicle Forward Speed Limit Parameter mismatch</t>
  </si>
  <si>
    <t>Lost Communication With VCU</t>
  </si>
  <si>
    <t>U132008</t>
  </si>
  <si>
    <t>P012014</t>
  </si>
  <si>
    <t>Throttle /Pedal position sensor/Switch A circuit short to Ground or Open</t>
  </si>
  <si>
    <t>DFC PTNG Electric Max Error For CNG Tank Pressure Sensor Tanl pressure Sensor short to battery</t>
  </si>
  <si>
    <t>P01A115</t>
  </si>
  <si>
    <t>Side airbag front LH&amp; RH deployment control circuit resistance above threshold</t>
  </si>
  <si>
    <t>DC Charging Inlet temperature Sensor on Netural connection circuit short to battery or open</t>
  </si>
  <si>
    <t>U160981</t>
  </si>
  <si>
    <t>Invalid data Received fron anti lock braking system electric stabilty Program (ABS/ESP) control module</t>
  </si>
  <si>
    <t>Reset ECU Failed</t>
  </si>
  <si>
    <t xml:space="preserve">ABS Mando </t>
  </si>
  <si>
    <t>Air Temprature Feedback Signal-Circuit short to Battery Or Open</t>
  </si>
  <si>
    <t>Start Actuator Motor Calibration Routine Failed</t>
  </si>
  <si>
    <t>LBIBS Module Transponder Key Authentication failure - Algorithm Based failure</t>
  </si>
  <si>
    <t>B165306</t>
  </si>
  <si>
    <t>Parameter part number for Instrument cluster parameter reading failed</t>
  </si>
  <si>
    <t>Level2 intake vention safety input failure</t>
  </si>
  <si>
    <t>Clutch closed position selftune Min type Error</t>
  </si>
  <si>
    <t>P140107</t>
  </si>
  <si>
    <t>P174F03</t>
  </si>
  <si>
    <t>B1C5D11</t>
  </si>
  <si>
    <t>Smoke sensor CAN Loss - Missing message</t>
  </si>
  <si>
    <t>P30C487</t>
  </si>
  <si>
    <t>Lost communication With Parking Assist Control Module A bus signal / message Failure</t>
  </si>
  <si>
    <t>U015908</t>
  </si>
  <si>
    <t>Passenger Deactivation switch Circuit short to battery</t>
  </si>
  <si>
    <t>B100B12</t>
  </si>
  <si>
    <t>Driver retractor pretensioner deployment control circuit resistance above threshold</t>
  </si>
  <si>
    <t>B00701B</t>
  </si>
  <si>
    <t>Left Turn Fog Lamp Circuit short to battery</t>
  </si>
  <si>
    <t>Right Turn Fog Lamp Circuit short to battery</t>
  </si>
  <si>
    <t>B221F15</t>
  </si>
  <si>
    <t>B224215</t>
  </si>
  <si>
    <t>E drive MCU level 3 Fault CAN signal Received By VECU Event Information</t>
  </si>
  <si>
    <t>P308568</t>
  </si>
  <si>
    <t>Lost Communication With HVAC Control Module Bus Signal /Message Failure</t>
  </si>
  <si>
    <t>Lost Communication Restraints Control Module Bus Signal /Message Failure</t>
  </si>
  <si>
    <t>Lost communication with HVAC Control Module BUS signal/message failure</t>
  </si>
  <si>
    <t>Lost communication with Power Steering Control Module BUS signal/message failure</t>
  </si>
  <si>
    <t>U013108</t>
  </si>
  <si>
    <t>Rear Right wheel speed sensor open/short to GND</t>
  </si>
  <si>
    <t>C003A14</t>
  </si>
  <si>
    <t>Driver Knee Airbag Deplyment Control Circuit Resistance Above Threshold</t>
  </si>
  <si>
    <t>B00041B</t>
  </si>
  <si>
    <t>B104452</t>
  </si>
  <si>
    <t>ECU Flring Disabled - Not Activated</t>
  </si>
  <si>
    <t>CNG Rall Temprature sensor Circuit High circuit short to battery</t>
  </si>
  <si>
    <t>P018315</t>
  </si>
  <si>
    <t>Rear passenger Seat belt buckle switch circuit short to battery</t>
  </si>
  <si>
    <t>B103A12</t>
  </si>
  <si>
    <t>ESP Vehicle Drive Configuration Parameter Reading Failed, Parameter Part number For ESP parameter reading failed</t>
  </si>
  <si>
    <t>Vaccum Pressure Sensor Circuit Short to ground Or Open</t>
  </si>
  <si>
    <t>P301414</t>
  </si>
  <si>
    <t>Frontal  Impact Left sensor - Circuit open</t>
  </si>
  <si>
    <t>B100E13</t>
  </si>
  <si>
    <t>PTC Temprature Sensor Signal Circuit Short To Battery Open</t>
  </si>
  <si>
    <t>B1F5615</t>
  </si>
  <si>
    <t>Rear De Fogger Switch- Signal Short to Ground</t>
  </si>
  <si>
    <t>B223811</t>
  </si>
  <si>
    <t>Lost of communication with ECM/PCM"A"-Bus Signal/Message Failure</t>
  </si>
  <si>
    <t>Air temprature Actuator  motor missing calibration</t>
  </si>
  <si>
    <t>Clutch Position Sensing PWM DUTY low (Sensor Algorytm Error,Sensor problem,Magnet Lost)</t>
  </si>
  <si>
    <t>P080504</t>
  </si>
  <si>
    <t>Odometer Storage Fault Invalid Serial Data Received</t>
  </si>
  <si>
    <t>U161481</t>
  </si>
  <si>
    <t>Combination Switch Failure Component Failure</t>
  </si>
  <si>
    <t>Left stop lamp circuit short to battery</t>
  </si>
  <si>
    <t>B222715</t>
  </si>
  <si>
    <t>Parameter Part Number For ABS Parameter Reading Failed</t>
  </si>
  <si>
    <t>Control Module Configuration Invalid/ Incompatible Configuration</t>
  </si>
  <si>
    <t>U160456</t>
  </si>
  <si>
    <t>Engine Water Temprature Signal Not valid</t>
  </si>
  <si>
    <t>P071002</t>
  </si>
  <si>
    <t>Fan 2 Control Circuit Open</t>
  </si>
  <si>
    <t>P048113</t>
  </si>
  <si>
    <t>Proximity Sensor Rear LH Input Circuit Open</t>
  </si>
  <si>
    <t>B192513</t>
  </si>
  <si>
    <t>Lost communication with PEPS BUS signal/message failure</t>
  </si>
  <si>
    <t>U131508</t>
  </si>
  <si>
    <t>ECU Start Diagonastic Failed</t>
  </si>
  <si>
    <t>BCM</t>
  </si>
  <si>
    <t>Front Left Wheel Speed Sensor Open / Short to ground</t>
  </si>
  <si>
    <t>C003114</t>
  </si>
  <si>
    <t>Button Panel LIN- BUS Signal /Message Failure</t>
  </si>
  <si>
    <t>B1C4D08</t>
  </si>
  <si>
    <t>Hazard Switch Circuit short to Battery</t>
  </si>
  <si>
    <t>B221712</t>
  </si>
  <si>
    <t>B1C2013</t>
  </si>
  <si>
    <t>Not Started</t>
  </si>
  <si>
    <t>Express down output - Circuit Short to Battery</t>
  </si>
  <si>
    <t>B132612</t>
  </si>
  <si>
    <t xml:space="preserve">Head Lamp On Signal Circuit Short To Battery </t>
  </si>
  <si>
    <t>B221A12</t>
  </si>
  <si>
    <t>Lost Communication With Instrument Panel Cluster Control Module Bus Signal /Message failure</t>
  </si>
  <si>
    <t>U015508</t>
  </si>
  <si>
    <t>A/C Clutch Realy Control Circuit open</t>
  </si>
  <si>
    <t>P064513</t>
  </si>
  <si>
    <t>Blower Motor Diagonastic Feedback Circuit Short to Ground or Open</t>
  </si>
  <si>
    <t>B1F2814</t>
  </si>
  <si>
    <t>DFC Max Error Natural gas Rail Pressure Sensor Circuit High- Circuit Short to Ground</t>
  </si>
  <si>
    <t>P019315</t>
  </si>
  <si>
    <t>U130908</t>
  </si>
  <si>
    <t xml:space="preserve">Lost Communication With Antilock Braking System/Electronic Stability- Program (ABS/ESP) Control Module </t>
  </si>
  <si>
    <t>Control Module Configuration - not Configured</t>
  </si>
  <si>
    <t>U160455</t>
  </si>
  <si>
    <t>B190915</t>
  </si>
  <si>
    <t>Fuel Level Sensor Input Circuit Short to battery Or Open</t>
  </si>
  <si>
    <t>Inertial Sensor Calibration failed Reset ECU failed</t>
  </si>
  <si>
    <t>B22411</t>
  </si>
  <si>
    <t>Left Position Lamps- Circuit Short to Ground</t>
  </si>
  <si>
    <t>B00101B</t>
  </si>
  <si>
    <t>Passenger Airbag Deployment Control Circuit Resistance Above Threshold</t>
  </si>
  <si>
    <t>BMS Neg Main Rly HW Third Level Fault</t>
  </si>
  <si>
    <t>P307273</t>
  </si>
  <si>
    <t>July'25</t>
  </si>
  <si>
    <t xml:space="preserve">June'25  </t>
  </si>
  <si>
    <t>Drive signal for Front Antenna- circuit open</t>
  </si>
  <si>
    <t>B132113</t>
  </si>
  <si>
    <t>Neutral Reading Failed,Drive Reading Failed</t>
  </si>
  <si>
    <t>Driver Seat Belt Anchor Pretensioner Deployment Control Circuit Rsistance Above Threshold</t>
  </si>
  <si>
    <t>Passenger Seat Belt Anchor Pretensioner Deployment Control Circuit Resistance Above Threshold</t>
  </si>
  <si>
    <t>BCM Configuration Error Invalid / Incompatible Configuration</t>
  </si>
  <si>
    <t>BMS Cell Voltage Sampling fault discharging First Level Fault</t>
  </si>
  <si>
    <t>BMS Cell Voltage Sampling fault charging second Level Fault</t>
  </si>
  <si>
    <t>P306B1C</t>
  </si>
  <si>
    <t>P306C1C</t>
  </si>
  <si>
    <t>Application Software Identification parameter Reading failed</t>
  </si>
  <si>
    <t>Accelerator Pedal Sensor 2 CirCuit Short to ground</t>
  </si>
  <si>
    <t>P300612</t>
  </si>
  <si>
    <t>Hill Hold Signal Not valid</t>
  </si>
  <si>
    <t>ASR Brake Control Active Signal Not Valid</t>
  </si>
  <si>
    <t>Vehicle Dynamics Control Signal Not Valid</t>
  </si>
  <si>
    <t>P1C2A02</t>
  </si>
  <si>
    <t>P1C2702</t>
  </si>
  <si>
    <t>U160900</t>
  </si>
  <si>
    <t>Drive signal for Right Antenna- circuit open</t>
  </si>
  <si>
    <t>No UID Pairing Done System Programming Failure</t>
  </si>
  <si>
    <t>Invalid Data Received From Body Control Module - Invalid Serial Data Received</t>
  </si>
  <si>
    <t>B13F13</t>
  </si>
  <si>
    <t>U042281</t>
  </si>
  <si>
    <t>U0121-31</t>
  </si>
  <si>
    <t>OBC Wake Up Command Writing failed</t>
  </si>
  <si>
    <t>Parameter Mismatch AQI Feature Activation</t>
  </si>
  <si>
    <t>User Customization Settings Parameter Mismatch</t>
  </si>
  <si>
    <t>B224711</t>
  </si>
  <si>
    <t>Right Position Lamps- Circuit Short to Ground</t>
  </si>
  <si>
    <t>Crash Output HW - Not Configurated</t>
  </si>
  <si>
    <t>B101055</t>
  </si>
  <si>
    <t>Tailgate Unlock Signal- Circuit Short To Ground Open</t>
  </si>
  <si>
    <t>B162D14</t>
  </si>
  <si>
    <t>Vehicle Manufacturer ECU Software Version PEPS Parameter Mismatch ECU</t>
  </si>
  <si>
    <t>High Voltage Battery Level 3 Fault CAN Signal Received by VECU  Event Information</t>
  </si>
  <si>
    <t>P308468</t>
  </si>
  <si>
    <t>P308C1A</t>
  </si>
  <si>
    <t>Isolation Resistance Value Recived From BMS Over4 CAN - CirCuit</t>
  </si>
  <si>
    <t>BMS Inslation Fault Third level alam Circuit Resistance below Threshold</t>
  </si>
  <si>
    <t>P12311A</t>
  </si>
  <si>
    <t>MCU Contactor Weld  Component Failure</t>
  </si>
  <si>
    <t>P304709</t>
  </si>
  <si>
    <t>Lost Communication With Battery Management System (BMS) module</t>
  </si>
  <si>
    <t>U132208</t>
  </si>
  <si>
    <t>Configuration Parameter Reading Failed</t>
  </si>
  <si>
    <t>B222E12</t>
  </si>
  <si>
    <t>B223612</t>
  </si>
  <si>
    <t>Main Beam Switch- Circuit Short to Battery</t>
  </si>
  <si>
    <t>Position Lamp Switch - Circuit Short to Battery</t>
  </si>
  <si>
    <t>Left Antenna Failure Limited Function Config Parameter Reading Failed ,Read DTC failed</t>
  </si>
  <si>
    <t>REAR SBR TELL TALE and Chime Parameter Reading Failed</t>
  </si>
  <si>
    <t>Passenger SBR Switch &amp; Chime parameter Reading Failed</t>
  </si>
  <si>
    <t>Invalid data received From ECM/PCM invalid serial data received</t>
  </si>
  <si>
    <t>VCU Internal Error - No Sub Type Information</t>
  </si>
  <si>
    <t>P240300</t>
  </si>
  <si>
    <t>U012108</t>
  </si>
  <si>
    <t>Accessory  Powermode Input- Circuit Short to Ground</t>
  </si>
  <si>
    <t>U100011</t>
  </si>
  <si>
    <t>Ignition PowerMode Input- Circuit Short to Battery</t>
  </si>
  <si>
    <t>U100F12</t>
  </si>
  <si>
    <t>Key In Signal - Circuit Short to battery</t>
  </si>
  <si>
    <t>U101012</t>
  </si>
  <si>
    <t>Parameter Part Number For Restraint Control Module Parameter reading Failed</t>
  </si>
  <si>
    <t>C130401</t>
  </si>
  <si>
    <t>Lost Communication With DC Dc Converter Module Bus Signal/Message Failure</t>
  </si>
  <si>
    <t>U132908</t>
  </si>
  <si>
    <t>P307373</t>
  </si>
  <si>
    <t>Lost Communication With Tire Pressure Monitor Module- Bus Signal/Message Failure</t>
  </si>
  <si>
    <t>U012708</t>
  </si>
  <si>
    <t>U023608</t>
  </si>
  <si>
    <t>Lost Communication With Column Lock Module (ESCL)- Bus Signal</t>
  </si>
  <si>
    <t>Lost Communication with Passive Entry Passive Start(PEPS)-Bus signal</t>
  </si>
  <si>
    <t>Invalid  Data Received From instrument Panel Cluster Control Module Invalid serial Data Received</t>
  </si>
  <si>
    <t>U042381</t>
  </si>
  <si>
    <t>Lost Communication With Vehicle Control Unit (VCU) - Missing Calibration</t>
  </si>
  <si>
    <t>U132087</t>
  </si>
  <si>
    <t>Climate Control Panel Off switch Component Failure</t>
  </si>
  <si>
    <t>B1F3A09</t>
  </si>
  <si>
    <t>Invalid Data Received From invalid Data Received From Antilock Baking System/Electronic Stability Program</t>
  </si>
  <si>
    <t>August'25</t>
  </si>
  <si>
    <t xml:space="preserve"> </t>
  </si>
  <si>
    <t>August'25.</t>
  </si>
  <si>
    <t>inflatable curtain airbag RH &amp; LH deployment control 1 circuit resistance above</t>
  </si>
  <si>
    <t>P304B09</t>
  </si>
  <si>
    <t>HV fuse of MCU Component Failures</t>
  </si>
  <si>
    <t>Frame Is Not Recived Within The Stipulated Time Period</t>
  </si>
  <si>
    <t>U014031</t>
  </si>
  <si>
    <t>wit</t>
  </si>
  <si>
    <t>Cabin Temperature sensor circuit short to battery</t>
  </si>
  <si>
    <t>B1F2A12</t>
  </si>
  <si>
    <t>ECU COMMUNICATION FAILED</t>
  </si>
  <si>
    <t>Gear Lever Sensor Circuit Signalin Mediumrange</t>
  </si>
  <si>
    <t>P082303</t>
  </si>
  <si>
    <t>Acc Relay Feedback Circuit open</t>
  </si>
  <si>
    <t>B164914</t>
  </si>
  <si>
    <t>July'25
PPH</t>
  </si>
  <si>
    <t>Aug'25
PPH</t>
  </si>
  <si>
    <t>Agency</t>
  </si>
  <si>
    <t>Process</t>
  </si>
  <si>
    <t>TS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</si>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</sst>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textRotation="180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048326"/>
  <sheetViews>
    <sheetView tabSelected="1" topLeftCell="A40" zoomScaleNormal="100" workbookViewId="0">
      <selection activeCell="E49" sqref="E49"/>
    </sheetView>
  </sheetViews>
  <sheetFormatPr defaultColWidth="9.140625" defaultRowHeight="15" x14ac:dyDescent="0.25"/>
  <cols>
    <col min="1" max="1" width="5" style="6" customWidth="1"/>
    <col min="2" max="2" width="24.42578125" style="6" customWidth="1"/>
    <col min="3" max="3" width="16" style="6" bestFit="1" customWidth="1"/>
    <col min="4" max="4" width="85.5703125" style="6" customWidth="1"/>
    <col min="5" max="5" width="11.7109375" style="6" bestFit="1" customWidth="1"/>
    <col min="6" max="9" width="9.140625" style="6" hidden="1" customWidth="1"/>
    <col min="10" max="10" width="6.85546875" style="6" hidden="1" customWidth="1"/>
    <col min="11" max="14" width="6.5703125" style="6" customWidth="1"/>
    <col min="15" max="32" width="4.7109375" style="6" customWidth="1"/>
    <col min="33" max="33" width="5" style="6" customWidth="1"/>
    <col min="34" max="37" width="4.7109375" style="6" customWidth="1"/>
    <col min="38" max="39" width="5.7109375" style="6" customWidth="1"/>
    <col min="40" max="40" width="6" style="6" customWidth="1"/>
    <col min="41" max="41" width="5.42578125" style="6" customWidth="1"/>
    <col min="42" max="42" width="6.140625" style="6" customWidth="1"/>
    <col min="43" max="16384" width="9.140625" style="6"/>
  </cols>
  <sheetData>
    <row r="1" spans="1:42" ht="51" x14ac:dyDescent="0.25">
      <c r="A1" s="12" t="s">
        <v>234</v>
      </c>
      <c r="B1" s="12" t="s">
        <v>66</v>
      </c>
      <c r="C1" s="12" t="s">
        <v>65</v>
      </c>
      <c r="D1" s="12" t="s">
        <v>67</v>
      </c>
      <c r="E1" s="12" t="s">
        <v>501</v>
      </c>
      <c r="F1" s="14" t="s">
        <v>238</v>
      </c>
      <c r="G1" s="15" t="s">
        <v>104</v>
      </c>
      <c r="H1" s="15" t="s">
        <v>114</v>
      </c>
      <c r="I1" s="14" t="s">
        <v>125</v>
      </c>
      <c r="J1" s="14" t="s">
        <v>235</v>
      </c>
      <c r="K1" s="14" t="s">
        <v>401</v>
      </c>
      <c r="L1" s="14" t="s">
        <v>499</v>
      </c>
      <c r="M1" s="14" t="s">
        <v>483</v>
      </c>
      <c r="N1" s="14" t="s">
        <v>500</v>
      </c>
      <c r="O1" s="16">
        <v>45870</v>
      </c>
      <c r="P1" s="16">
        <v>45872</v>
      </c>
      <c r="Q1" s="16">
        <v>45873</v>
      </c>
      <c r="R1" s="16">
        <v>45874</v>
      </c>
      <c r="S1" s="16">
        <v>45875</v>
      </c>
      <c r="T1" s="16">
        <v>45876</v>
      </c>
      <c r="U1" s="16">
        <v>45877</v>
      </c>
      <c r="V1" s="16">
        <v>45880</v>
      </c>
      <c r="W1" s="16">
        <v>45881</v>
      </c>
      <c r="X1" s="16">
        <v>45882</v>
      </c>
      <c r="Y1" s="16">
        <v>45883</v>
      </c>
      <c r="Z1" s="16">
        <v>45884</v>
      </c>
      <c r="AA1" s="16">
        <v>45885</v>
      </c>
      <c r="AB1" s="16">
        <v>45886</v>
      </c>
      <c r="AC1" s="16">
        <v>45887</v>
      </c>
      <c r="AD1" s="16">
        <v>45888</v>
      </c>
      <c r="AE1" s="16">
        <v>45889</v>
      </c>
      <c r="AF1" s="16">
        <v>45890</v>
      </c>
      <c r="AG1" s="16">
        <v>45891</v>
      </c>
      <c r="AH1" s="16">
        <v>45892</v>
      </c>
      <c r="AI1" s="16">
        <v>45893</v>
      </c>
      <c r="AJ1" s="16">
        <v>45894</v>
      </c>
      <c r="AK1" s="16">
        <v>45895</v>
      </c>
      <c r="AL1" s="16">
        <v>45896</v>
      </c>
      <c r="AM1" s="16">
        <v>45897</v>
      </c>
      <c r="AN1" s="16">
        <v>45898</v>
      </c>
      <c r="AO1" s="16">
        <v>45899</v>
      </c>
      <c r="AP1" s="16">
        <v>45900</v>
      </c>
    </row>
    <row r="2" spans="1:42" x14ac:dyDescent="0.25">
      <c r="A2" s="6">
        <v>2</v>
      </c>
      <c r="B2" s="1" t="s">
        <v>5</v>
      </c>
      <c r="C2" s="1" t="s">
        <v>6</v>
      </c>
      <c r="D2" s="3" t="s">
        <v>121</v>
      </c>
      <c r="E2" s="3" t="s">
        <v>502</v>
      </c>
      <c r="F2" s="9" t="s">
        <v>367</v>
      </c>
      <c r="G2" s="2">
        <v>80</v>
      </c>
      <c r="H2" s="2">
        <v>81</v>
      </c>
      <c r="I2" s="2">
        <v>32</v>
      </c>
      <c r="J2" s="2">
        <v>167</v>
      </c>
      <c r="K2" s="2">
        <v>150</v>
      </c>
      <c r="L2" s="17">
        <f>K2/7012*100</f>
        <v>2.1391899600684541</v>
      </c>
      <c r="M2" s="2">
        <f t="shared" ref="M2:M33" si="0">SUM(O2:AP2)</f>
        <v>51</v>
      </c>
      <c r="N2" s="17">
        <f>M2/2700*100</f>
        <v>1.8888888888888888</v>
      </c>
      <c r="O2" s="6">
        <v>6</v>
      </c>
      <c r="P2" s="6">
        <v>9</v>
      </c>
      <c r="Q2" s="6">
        <v>9</v>
      </c>
      <c r="R2" s="6">
        <v>10</v>
      </c>
      <c r="S2" s="6">
        <v>2</v>
      </c>
      <c r="T2" s="6">
        <v>11</v>
      </c>
      <c r="U2" s="6">
        <v>4</v>
      </c>
    </row>
    <row r="3" spans="1:42" x14ac:dyDescent="0.25">
      <c r="A3" s="6">
        <v>3</v>
      </c>
      <c r="B3" s="8" t="s">
        <v>5</v>
      </c>
      <c r="C3" s="1" t="s">
        <v>6</v>
      </c>
      <c r="D3" s="3" t="s">
        <v>58</v>
      </c>
      <c r="E3" s="3" t="s">
        <v>503</v>
      </c>
      <c r="F3" s="2">
        <v>20</v>
      </c>
      <c r="G3" s="2">
        <v>88</v>
      </c>
      <c r="H3" s="2">
        <v>84</v>
      </c>
      <c r="I3" s="2">
        <v>27</v>
      </c>
      <c r="J3" s="2">
        <v>88</v>
      </c>
      <c r="K3" s="2">
        <v>70</v>
      </c>
      <c r="L3" s="17">
        <f t="shared" ref="L3:L66" si="1">K3/7012*100</f>
        <v>0.99828864803194528</v>
      </c>
      <c r="M3" s="2">
        <f t="shared" si="0"/>
        <v>26</v>
      </c>
      <c r="N3" s="17">
        <f t="shared" ref="N3:N66" si="2">M3/2700*100</f>
        <v>0.96296296296296302</v>
      </c>
      <c r="O3" s="6">
        <v>3</v>
      </c>
      <c r="P3" s="6">
        <v>3</v>
      </c>
      <c r="Q3" s="6">
        <v>6</v>
      </c>
      <c r="R3" s="6">
        <v>4</v>
      </c>
      <c r="S3" s="6">
        <v>4</v>
      </c>
      <c r="T3" s="6">
        <v>1</v>
      </c>
      <c r="U3" s="6">
        <v>5</v>
      </c>
    </row>
    <row r="4" spans="1:42" x14ac:dyDescent="0.25">
      <c r="B4" s="8" t="s">
        <v>7</v>
      </c>
      <c r="C4" s="5" t="s">
        <v>6</v>
      </c>
      <c r="D4" s="3" t="s">
        <v>428</v>
      </c>
      <c r="E4" s="3" t="s">
        <v>503</v>
      </c>
      <c r="F4" s="2"/>
      <c r="K4" s="2">
        <v>11</v>
      </c>
      <c r="L4" s="17">
        <f t="shared" si="1"/>
        <v>0.15687393040501998</v>
      </c>
      <c r="M4" s="2">
        <f t="shared" si="0"/>
        <v>14</v>
      </c>
      <c r="N4" s="17">
        <f t="shared" si="2"/>
        <v>0.51851851851851849</v>
      </c>
      <c r="P4" s="6">
        <v>1</v>
      </c>
      <c r="Q4" s="6">
        <v>1</v>
      </c>
      <c r="R4" s="6">
        <v>5</v>
      </c>
      <c r="S4" s="6">
        <v>3</v>
      </c>
      <c r="T4" s="6">
        <v>2</v>
      </c>
      <c r="U4" s="6">
        <v>2</v>
      </c>
    </row>
    <row r="5" spans="1:42" x14ac:dyDescent="0.25">
      <c r="A5" s="6">
        <v>29</v>
      </c>
      <c r="B5" s="8" t="s">
        <v>5</v>
      </c>
      <c r="C5" s="5" t="s">
        <v>28</v>
      </c>
      <c r="D5" s="3" t="s">
        <v>70</v>
      </c>
      <c r="E5" s="3" t="s">
        <v>502</v>
      </c>
      <c r="F5" s="2">
        <v>12</v>
      </c>
      <c r="G5" s="2">
        <v>23</v>
      </c>
      <c r="H5" s="2">
        <v>20</v>
      </c>
      <c r="I5" s="2">
        <v>4</v>
      </c>
      <c r="J5" s="2">
        <v>34</v>
      </c>
      <c r="K5" s="2">
        <v>30</v>
      </c>
      <c r="L5" s="17">
        <f t="shared" si="1"/>
        <v>0.42783799201369083</v>
      </c>
      <c r="M5" s="2">
        <f t="shared" si="0"/>
        <v>13</v>
      </c>
      <c r="N5" s="17">
        <f t="shared" si="2"/>
        <v>0.48148148148148151</v>
      </c>
      <c r="O5" s="6">
        <v>2</v>
      </c>
      <c r="P5" s="6">
        <v>1</v>
      </c>
      <c r="Q5" s="6">
        <v>1</v>
      </c>
      <c r="R5" s="6">
        <v>5</v>
      </c>
      <c r="S5" s="6">
        <v>1</v>
      </c>
      <c r="T5" s="6">
        <v>2</v>
      </c>
      <c r="U5" s="6">
        <v>1</v>
      </c>
    </row>
    <row r="6" spans="1:42" x14ac:dyDescent="0.25">
      <c r="A6" s="6">
        <v>8</v>
      </c>
      <c r="B6" s="8" t="s">
        <v>5</v>
      </c>
      <c r="C6" s="1" t="s">
        <v>6</v>
      </c>
      <c r="D6" s="3" t="s">
        <v>98</v>
      </c>
      <c r="E6" s="3" t="s">
        <v>502</v>
      </c>
      <c r="F6" s="2">
        <v>2</v>
      </c>
      <c r="G6" s="2">
        <v>30</v>
      </c>
      <c r="H6" s="2">
        <v>42</v>
      </c>
      <c r="I6" s="2">
        <v>10</v>
      </c>
      <c r="J6" s="2">
        <v>47</v>
      </c>
      <c r="K6" s="2">
        <v>49</v>
      </c>
      <c r="L6" s="17">
        <f t="shared" si="1"/>
        <v>0.6988020536223617</v>
      </c>
      <c r="M6" s="2">
        <f t="shared" si="0"/>
        <v>13</v>
      </c>
      <c r="N6" s="17">
        <f t="shared" si="2"/>
        <v>0.48148148148148151</v>
      </c>
      <c r="O6" s="6">
        <v>6</v>
      </c>
      <c r="P6" s="6">
        <v>1</v>
      </c>
      <c r="Q6" s="6">
        <v>1</v>
      </c>
      <c r="R6" s="6">
        <v>1</v>
      </c>
      <c r="T6" s="6">
        <v>2</v>
      </c>
      <c r="U6" s="6">
        <v>2</v>
      </c>
    </row>
    <row r="7" spans="1:42" x14ac:dyDescent="0.25">
      <c r="A7" s="6">
        <v>32</v>
      </c>
      <c r="B7" s="8" t="s">
        <v>99</v>
      </c>
      <c r="C7" s="5" t="s">
        <v>6</v>
      </c>
      <c r="D7" s="3" t="s">
        <v>232</v>
      </c>
      <c r="E7" s="3" t="s">
        <v>503</v>
      </c>
      <c r="F7" s="2">
        <v>0</v>
      </c>
      <c r="G7" s="6">
        <v>21</v>
      </c>
      <c r="H7" s="6">
        <v>13</v>
      </c>
      <c r="I7" s="6">
        <v>3</v>
      </c>
      <c r="J7" s="2">
        <v>18</v>
      </c>
      <c r="K7" s="2">
        <v>19</v>
      </c>
      <c r="L7" s="17">
        <f t="shared" si="1"/>
        <v>0.27096406160867087</v>
      </c>
      <c r="M7" s="2">
        <f t="shared" si="0"/>
        <v>12</v>
      </c>
      <c r="N7" s="17">
        <f t="shared" si="2"/>
        <v>0.44444444444444442</v>
      </c>
      <c r="O7" s="6">
        <v>2</v>
      </c>
      <c r="P7" s="6">
        <v>1</v>
      </c>
      <c r="Q7" s="6">
        <v>1</v>
      </c>
      <c r="R7" s="6">
        <v>1</v>
      </c>
      <c r="S7" s="6">
        <v>3</v>
      </c>
      <c r="T7" s="6">
        <v>3</v>
      </c>
      <c r="U7" s="6">
        <v>1</v>
      </c>
    </row>
    <row r="8" spans="1:42" x14ac:dyDescent="0.25">
      <c r="A8" s="6">
        <v>28</v>
      </c>
      <c r="B8" s="8" t="s">
        <v>95</v>
      </c>
      <c r="C8" s="5" t="s">
        <v>6</v>
      </c>
      <c r="D8" s="3" t="s">
        <v>48</v>
      </c>
      <c r="E8" s="3" t="s">
        <v>503</v>
      </c>
      <c r="F8" s="2">
        <v>9</v>
      </c>
      <c r="G8" s="2">
        <v>24</v>
      </c>
      <c r="H8" s="2">
        <v>39</v>
      </c>
      <c r="I8" s="2">
        <v>4</v>
      </c>
      <c r="J8" s="2">
        <v>40</v>
      </c>
      <c r="K8" s="2">
        <v>27</v>
      </c>
      <c r="L8" s="17">
        <f t="shared" si="1"/>
        <v>0.38505419281232173</v>
      </c>
      <c r="M8" s="2">
        <f t="shared" si="0"/>
        <v>12</v>
      </c>
      <c r="N8" s="17">
        <f t="shared" si="2"/>
        <v>0.44444444444444442</v>
      </c>
      <c r="O8" s="6">
        <v>1</v>
      </c>
      <c r="P8" s="6">
        <v>1</v>
      </c>
      <c r="Q8" s="6">
        <v>3</v>
      </c>
      <c r="R8" s="6">
        <v>4</v>
      </c>
      <c r="S8" s="6">
        <v>2</v>
      </c>
      <c r="T8" s="6">
        <v>1</v>
      </c>
    </row>
    <row r="9" spans="1:42" x14ac:dyDescent="0.25">
      <c r="A9" s="6">
        <v>93</v>
      </c>
      <c r="B9" s="8" t="s">
        <v>5</v>
      </c>
      <c r="C9" s="5" t="s">
        <v>164</v>
      </c>
      <c r="D9" s="3" t="s">
        <v>165</v>
      </c>
      <c r="E9" s="3" t="s">
        <v>503</v>
      </c>
      <c r="F9" s="2">
        <v>2</v>
      </c>
      <c r="G9" s="2">
        <v>3</v>
      </c>
      <c r="H9" s="2">
        <v>10</v>
      </c>
      <c r="I9" s="2">
        <v>1</v>
      </c>
      <c r="J9" s="2">
        <v>9</v>
      </c>
      <c r="K9" s="2">
        <v>31</v>
      </c>
      <c r="L9" s="17">
        <f t="shared" si="1"/>
        <v>0.44209925841414716</v>
      </c>
      <c r="M9" s="2">
        <f t="shared" si="0"/>
        <v>10</v>
      </c>
      <c r="N9" s="17">
        <f t="shared" si="2"/>
        <v>0.37037037037037041</v>
      </c>
      <c r="O9" s="6">
        <v>1</v>
      </c>
      <c r="Q9" s="6">
        <v>2</v>
      </c>
      <c r="R9" s="6">
        <v>1</v>
      </c>
      <c r="S9" s="6">
        <v>2</v>
      </c>
      <c r="T9" s="6">
        <v>2</v>
      </c>
      <c r="U9" s="6">
        <v>2</v>
      </c>
    </row>
    <row r="10" spans="1:42" x14ac:dyDescent="0.25">
      <c r="A10" s="6">
        <v>9</v>
      </c>
      <c r="B10" s="8" t="s">
        <v>5</v>
      </c>
      <c r="C10" s="2" t="s">
        <v>22</v>
      </c>
      <c r="D10" s="3" t="s">
        <v>74</v>
      </c>
      <c r="E10" s="3" t="s">
        <v>504</v>
      </c>
      <c r="F10" s="2">
        <v>10</v>
      </c>
      <c r="G10" s="2">
        <v>31</v>
      </c>
      <c r="H10" s="2">
        <v>30</v>
      </c>
      <c r="I10" s="2">
        <v>9</v>
      </c>
      <c r="J10" s="2">
        <v>15</v>
      </c>
      <c r="K10" s="2">
        <v>30</v>
      </c>
      <c r="L10" s="17">
        <f t="shared" si="1"/>
        <v>0.42783799201369083</v>
      </c>
      <c r="M10" s="2">
        <f t="shared" si="0"/>
        <v>10</v>
      </c>
      <c r="N10" s="17">
        <f t="shared" si="2"/>
        <v>0.37037037037037041</v>
      </c>
      <c r="O10" s="6">
        <v>1</v>
      </c>
      <c r="Q10" s="6">
        <v>1</v>
      </c>
      <c r="S10" s="6">
        <v>5</v>
      </c>
      <c r="T10" s="6">
        <v>2</v>
      </c>
      <c r="U10" s="6">
        <v>1</v>
      </c>
    </row>
    <row r="11" spans="1:42" x14ac:dyDescent="0.25">
      <c r="A11" s="6">
        <v>5</v>
      </c>
      <c r="B11" s="8" t="s">
        <v>82</v>
      </c>
      <c r="C11" s="1" t="s">
        <v>6</v>
      </c>
      <c r="D11" s="3" t="s">
        <v>41</v>
      </c>
      <c r="E11" s="3" t="s">
        <v>502</v>
      </c>
      <c r="F11" s="2">
        <v>12</v>
      </c>
      <c r="G11" s="2">
        <v>37</v>
      </c>
      <c r="H11" s="2">
        <v>47</v>
      </c>
      <c r="I11" s="2">
        <v>13</v>
      </c>
      <c r="J11" s="2">
        <v>21</v>
      </c>
      <c r="K11" s="2">
        <v>23</v>
      </c>
      <c r="L11" s="17">
        <f t="shared" si="1"/>
        <v>0.3280091272104963</v>
      </c>
      <c r="M11" s="2">
        <f t="shared" si="0"/>
        <v>9</v>
      </c>
      <c r="N11" s="17">
        <f t="shared" si="2"/>
        <v>0.33333333333333337</v>
      </c>
      <c r="O11" s="6">
        <v>2</v>
      </c>
      <c r="P11" s="6">
        <v>1</v>
      </c>
      <c r="Q11" s="6">
        <v>1</v>
      </c>
      <c r="R11" s="6">
        <v>2</v>
      </c>
      <c r="S11" s="6">
        <v>1</v>
      </c>
      <c r="T11" s="6">
        <v>2</v>
      </c>
    </row>
    <row r="12" spans="1:42" x14ac:dyDescent="0.25">
      <c r="A12" s="6">
        <v>12</v>
      </c>
      <c r="B12" s="8" t="s">
        <v>5</v>
      </c>
      <c r="C12" s="1" t="s">
        <v>6</v>
      </c>
      <c r="D12" s="4" t="s">
        <v>112</v>
      </c>
      <c r="E12" s="4" t="s">
        <v>502</v>
      </c>
      <c r="F12" s="2">
        <v>38</v>
      </c>
      <c r="G12" s="2">
        <v>107</v>
      </c>
      <c r="H12" s="2">
        <v>19</v>
      </c>
      <c r="I12" s="2">
        <v>7</v>
      </c>
      <c r="J12" s="2">
        <v>21</v>
      </c>
      <c r="K12" s="2">
        <v>17</v>
      </c>
      <c r="L12" s="17">
        <f t="shared" si="1"/>
        <v>0.24244152880775813</v>
      </c>
      <c r="M12" s="2">
        <f t="shared" si="0"/>
        <v>9</v>
      </c>
      <c r="N12" s="17">
        <f t="shared" si="2"/>
        <v>0.33333333333333337</v>
      </c>
      <c r="P12" s="6">
        <v>1</v>
      </c>
      <c r="S12" s="6">
        <v>3</v>
      </c>
      <c r="T12" s="6">
        <v>4</v>
      </c>
      <c r="U12" s="6">
        <v>1</v>
      </c>
    </row>
    <row r="13" spans="1:42" x14ac:dyDescent="0.25">
      <c r="A13" s="6">
        <v>21</v>
      </c>
      <c r="B13" s="8" t="s">
        <v>5</v>
      </c>
      <c r="C13" s="1" t="s">
        <v>6</v>
      </c>
      <c r="D13" s="3" t="s">
        <v>49</v>
      </c>
      <c r="E13" s="3" t="s">
        <v>504</v>
      </c>
      <c r="F13" s="2">
        <v>10</v>
      </c>
      <c r="G13" s="2">
        <v>21</v>
      </c>
      <c r="H13" s="2">
        <v>50</v>
      </c>
      <c r="I13" s="2">
        <v>5</v>
      </c>
      <c r="J13" s="2">
        <v>31</v>
      </c>
      <c r="K13" s="2">
        <v>27</v>
      </c>
      <c r="L13" s="17">
        <f t="shared" si="1"/>
        <v>0.38505419281232173</v>
      </c>
      <c r="M13" s="2">
        <f t="shared" si="0"/>
        <v>9</v>
      </c>
      <c r="N13" s="17">
        <f t="shared" si="2"/>
        <v>0.33333333333333337</v>
      </c>
      <c r="O13" s="6">
        <v>3</v>
      </c>
      <c r="P13" s="6">
        <v>1</v>
      </c>
      <c r="R13" s="6">
        <v>2</v>
      </c>
      <c r="S13" s="6">
        <v>2</v>
      </c>
      <c r="T13" s="6">
        <v>1</v>
      </c>
    </row>
    <row r="14" spans="1:42" x14ac:dyDescent="0.25">
      <c r="A14" s="6">
        <v>41</v>
      </c>
      <c r="B14" s="1" t="s">
        <v>7</v>
      </c>
      <c r="C14" s="5" t="s">
        <v>6</v>
      </c>
      <c r="D14" s="3" t="s">
        <v>123</v>
      </c>
      <c r="E14" s="3" t="s">
        <v>504</v>
      </c>
      <c r="F14" s="2">
        <v>3</v>
      </c>
      <c r="G14" s="2">
        <v>8</v>
      </c>
      <c r="H14" s="2">
        <v>15</v>
      </c>
      <c r="I14" s="2">
        <v>3</v>
      </c>
      <c r="J14" s="2">
        <v>12</v>
      </c>
      <c r="K14" s="2">
        <v>55</v>
      </c>
      <c r="L14" s="17">
        <f t="shared" si="1"/>
        <v>0.78436965202509978</v>
      </c>
      <c r="M14" s="2">
        <f t="shared" si="0"/>
        <v>8</v>
      </c>
      <c r="N14" s="17">
        <f t="shared" si="2"/>
        <v>0.29629629629629628</v>
      </c>
      <c r="O14" s="6">
        <v>2</v>
      </c>
      <c r="P14" s="6">
        <v>2</v>
      </c>
      <c r="Q14" s="6">
        <v>1</v>
      </c>
      <c r="R14" s="6">
        <v>2</v>
      </c>
      <c r="S14" s="6">
        <v>1</v>
      </c>
    </row>
    <row r="15" spans="1:42" x14ac:dyDescent="0.25">
      <c r="A15" s="6">
        <v>107</v>
      </c>
      <c r="B15" s="8" t="s">
        <v>20</v>
      </c>
      <c r="C15" s="5" t="s">
        <v>182</v>
      </c>
      <c r="D15" s="3" t="s">
        <v>486</v>
      </c>
      <c r="E15" s="3" t="s">
        <v>504</v>
      </c>
      <c r="F15" s="2"/>
      <c r="G15" s="2"/>
      <c r="H15" s="2"/>
      <c r="I15" s="2"/>
      <c r="J15" s="2">
        <v>12</v>
      </c>
      <c r="K15" s="2">
        <v>19</v>
      </c>
      <c r="L15" s="17">
        <f t="shared" si="1"/>
        <v>0.27096406160867087</v>
      </c>
      <c r="M15" s="2">
        <f t="shared" si="0"/>
        <v>8</v>
      </c>
      <c r="N15" s="17">
        <f t="shared" si="2"/>
        <v>0.29629629629629628</v>
      </c>
      <c r="R15" s="6">
        <v>4</v>
      </c>
      <c r="S15" s="6">
        <v>2</v>
      </c>
      <c r="U15" s="6">
        <v>2</v>
      </c>
    </row>
    <row r="16" spans="1:42" x14ac:dyDescent="0.25">
      <c r="A16" s="6">
        <v>106</v>
      </c>
      <c r="B16" s="8" t="s">
        <v>20</v>
      </c>
      <c r="C16" s="5" t="s">
        <v>183</v>
      </c>
      <c r="D16" s="3" t="s">
        <v>292</v>
      </c>
      <c r="E16" s="3" t="s">
        <v>504</v>
      </c>
      <c r="F16" s="2"/>
      <c r="G16" s="2"/>
      <c r="H16" s="2"/>
      <c r="I16" s="2"/>
      <c r="J16" s="2">
        <v>12</v>
      </c>
      <c r="K16" s="2">
        <v>25</v>
      </c>
      <c r="L16" s="17">
        <f t="shared" si="1"/>
        <v>0.35653166001140901</v>
      </c>
      <c r="M16" s="2">
        <f t="shared" si="0"/>
        <v>8</v>
      </c>
      <c r="N16" s="17">
        <f t="shared" si="2"/>
        <v>0.29629629629629628</v>
      </c>
      <c r="R16" s="6">
        <v>4</v>
      </c>
      <c r="S16" s="6">
        <v>2</v>
      </c>
      <c r="U16" s="6">
        <v>2</v>
      </c>
    </row>
    <row r="17" spans="1:21" x14ac:dyDescent="0.25">
      <c r="A17" s="6">
        <v>1</v>
      </c>
      <c r="B17" s="8" t="s">
        <v>81</v>
      </c>
      <c r="C17" s="1" t="s">
        <v>6</v>
      </c>
      <c r="D17" s="3" t="s">
        <v>18</v>
      </c>
      <c r="E17" s="3" t="s">
        <v>502</v>
      </c>
      <c r="F17" s="2">
        <v>62</v>
      </c>
      <c r="G17" s="2">
        <v>109</v>
      </c>
      <c r="H17" s="2">
        <v>124</v>
      </c>
      <c r="I17" s="2">
        <v>47</v>
      </c>
      <c r="J17" s="2">
        <v>69</v>
      </c>
      <c r="K17" s="2">
        <v>84</v>
      </c>
      <c r="L17" s="17">
        <f t="shared" si="1"/>
        <v>1.1979463776383343</v>
      </c>
      <c r="M17" s="2">
        <f t="shared" si="0"/>
        <v>7</v>
      </c>
      <c r="N17" s="17">
        <f t="shared" si="2"/>
        <v>0.25925925925925924</v>
      </c>
      <c r="O17" s="6">
        <v>1</v>
      </c>
      <c r="Q17" s="6">
        <v>4</v>
      </c>
      <c r="T17" s="6">
        <v>1</v>
      </c>
      <c r="U17" s="6">
        <v>1</v>
      </c>
    </row>
    <row r="18" spans="1:21" x14ac:dyDescent="0.25">
      <c r="A18" s="6">
        <v>13</v>
      </c>
      <c r="B18" s="8" t="s">
        <v>7</v>
      </c>
      <c r="C18" s="2" t="s">
        <v>9</v>
      </c>
      <c r="D18" s="3" t="s">
        <v>86</v>
      </c>
      <c r="E18" s="3" t="s">
        <v>502</v>
      </c>
      <c r="F18" s="2">
        <v>7</v>
      </c>
      <c r="G18" s="2">
        <v>30</v>
      </c>
      <c r="H18" s="2">
        <v>18</v>
      </c>
      <c r="I18" s="2">
        <v>7</v>
      </c>
      <c r="J18" s="2">
        <v>20</v>
      </c>
      <c r="K18" s="2">
        <v>16</v>
      </c>
      <c r="L18" s="17">
        <f t="shared" si="1"/>
        <v>0.22818026240730174</v>
      </c>
      <c r="M18" s="2">
        <f t="shared" si="0"/>
        <v>7</v>
      </c>
      <c r="N18" s="17">
        <f t="shared" si="2"/>
        <v>0.25925925925925924</v>
      </c>
      <c r="P18" s="6">
        <v>2</v>
      </c>
      <c r="R18" s="6">
        <v>1</v>
      </c>
      <c r="S18" s="6">
        <v>1</v>
      </c>
      <c r="T18" s="6">
        <v>2</v>
      </c>
      <c r="U18" s="6">
        <v>1</v>
      </c>
    </row>
    <row r="19" spans="1:21" x14ac:dyDescent="0.25">
      <c r="A19" s="6">
        <v>14</v>
      </c>
      <c r="B19" s="8" t="s">
        <v>79</v>
      </c>
      <c r="C19" s="2" t="s">
        <v>29</v>
      </c>
      <c r="D19" s="3" t="s">
        <v>69</v>
      </c>
      <c r="E19" s="3" t="s">
        <v>502</v>
      </c>
      <c r="F19" s="2">
        <v>15</v>
      </c>
      <c r="G19" s="2">
        <v>41</v>
      </c>
      <c r="H19" s="2">
        <v>26</v>
      </c>
      <c r="I19" s="2">
        <v>6</v>
      </c>
      <c r="J19" s="2">
        <v>21</v>
      </c>
      <c r="K19" s="2">
        <v>28</v>
      </c>
      <c r="L19" s="17">
        <f t="shared" si="1"/>
        <v>0.39931545921277811</v>
      </c>
      <c r="M19" s="2">
        <f t="shared" si="0"/>
        <v>7</v>
      </c>
      <c r="N19" s="17">
        <f t="shared" si="2"/>
        <v>0.25925925925925924</v>
      </c>
      <c r="O19" s="6">
        <v>3</v>
      </c>
      <c r="T19" s="6">
        <v>1</v>
      </c>
      <c r="U19" s="6">
        <v>3</v>
      </c>
    </row>
    <row r="20" spans="1:21" x14ac:dyDescent="0.25">
      <c r="A20" s="6">
        <v>16</v>
      </c>
      <c r="B20" s="8" t="s">
        <v>5</v>
      </c>
      <c r="C20" s="2" t="s">
        <v>21</v>
      </c>
      <c r="D20" s="3" t="s">
        <v>85</v>
      </c>
      <c r="E20" s="3" t="s">
        <v>502</v>
      </c>
      <c r="F20" s="2">
        <v>6</v>
      </c>
      <c r="G20" s="2">
        <v>17</v>
      </c>
      <c r="H20" s="2">
        <v>14</v>
      </c>
      <c r="I20" s="2">
        <v>6</v>
      </c>
      <c r="J20" s="2">
        <v>10</v>
      </c>
      <c r="K20" s="2">
        <v>25</v>
      </c>
      <c r="L20" s="17">
        <f t="shared" si="1"/>
        <v>0.35653166001140901</v>
      </c>
      <c r="M20" s="2">
        <f t="shared" si="0"/>
        <v>7</v>
      </c>
      <c r="N20" s="17">
        <f t="shared" si="2"/>
        <v>0.25925925925925924</v>
      </c>
      <c r="O20" s="6">
        <v>3</v>
      </c>
      <c r="P20" s="6">
        <v>1</v>
      </c>
      <c r="Q20" s="6">
        <v>2</v>
      </c>
      <c r="R20" s="6">
        <v>1</v>
      </c>
    </row>
    <row r="21" spans="1:21" x14ac:dyDescent="0.25">
      <c r="A21" s="6">
        <v>188</v>
      </c>
      <c r="B21" s="8" t="s">
        <v>3</v>
      </c>
      <c r="C21" s="5" t="s">
        <v>6</v>
      </c>
      <c r="D21" s="3" t="s">
        <v>302</v>
      </c>
      <c r="E21" s="3" t="s">
        <v>503</v>
      </c>
      <c r="F21" s="2"/>
      <c r="J21" s="2">
        <v>4</v>
      </c>
      <c r="K21" s="2">
        <v>10</v>
      </c>
      <c r="L21" s="17">
        <f t="shared" si="1"/>
        <v>0.1426126640045636</v>
      </c>
      <c r="M21" s="2">
        <f t="shared" si="0"/>
        <v>7</v>
      </c>
      <c r="N21" s="17">
        <f t="shared" si="2"/>
        <v>0.25925925925925924</v>
      </c>
      <c r="Q21" s="6">
        <v>1</v>
      </c>
      <c r="R21" s="6">
        <v>1</v>
      </c>
      <c r="S21" s="6">
        <v>1</v>
      </c>
      <c r="T21" s="6">
        <v>4</v>
      </c>
    </row>
    <row r="22" spans="1:21" x14ac:dyDescent="0.25">
      <c r="A22" s="6">
        <v>47</v>
      </c>
      <c r="B22" s="8" t="s">
        <v>20</v>
      </c>
      <c r="C22" s="5" t="s">
        <v>38</v>
      </c>
      <c r="D22" s="3" t="s">
        <v>110</v>
      </c>
      <c r="E22" s="3" t="s">
        <v>502</v>
      </c>
      <c r="F22" s="2">
        <v>3</v>
      </c>
      <c r="G22" s="2">
        <v>6</v>
      </c>
      <c r="H22" s="2">
        <v>3</v>
      </c>
      <c r="I22" s="2">
        <v>2</v>
      </c>
      <c r="J22" s="2">
        <v>17</v>
      </c>
      <c r="K22" s="2">
        <v>24</v>
      </c>
      <c r="L22" s="17">
        <f t="shared" si="1"/>
        <v>0.34227039361095268</v>
      </c>
      <c r="M22" s="2">
        <f t="shared" si="0"/>
        <v>7</v>
      </c>
      <c r="N22" s="17">
        <f t="shared" si="2"/>
        <v>0.25925925925925924</v>
      </c>
      <c r="O22" s="6">
        <v>1</v>
      </c>
      <c r="Q22" s="6">
        <v>2</v>
      </c>
      <c r="S22" s="6">
        <v>1</v>
      </c>
      <c r="T22" s="6">
        <v>2</v>
      </c>
      <c r="U22" s="6">
        <v>1</v>
      </c>
    </row>
    <row r="23" spans="1:21" x14ac:dyDescent="0.25">
      <c r="A23" s="6">
        <v>206</v>
      </c>
      <c r="B23" s="8" t="s">
        <v>20</v>
      </c>
      <c r="C23" s="5" t="s">
        <v>331</v>
      </c>
      <c r="D23" s="3" t="s">
        <v>332</v>
      </c>
      <c r="E23" s="3" t="s">
        <v>503</v>
      </c>
      <c r="J23" s="2">
        <v>4</v>
      </c>
      <c r="K23" s="2">
        <v>12</v>
      </c>
      <c r="L23" s="17">
        <f t="shared" si="1"/>
        <v>0.17113519680547634</v>
      </c>
      <c r="M23" s="2">
        <f t="shared" si="0"/>
        <v>7</v>
      </c>
      <c r="N23" s="17">
        <f t="shared" si="2"/>
        <v>0.25925925925925924</v>
      </c>
      <c r="O23" s="6">
        <v>1</v>
      </c>
      <c r="R23" s="6">
        <v>4</v>
      </c>
      <c r="S23" s="6">
        <v>1</v>
      </c>
      <c r="U23" s="6">
        <v>1</v>
      </c>
    </row>
    <row r="24" spans="1:21" x14ac:dyDescent="0.25">
      <c r="A24" s="6">
        <v>147</v>
      </c>
      <c r="B24" s="8" t="s">
        <v>20</v>
      </c>
      <c r="C24" s="5" t="s">
        <v>252</v>
      </c>
      <c r="D24" s="3" t="s">
        <v>253</v>
      </c>
      <c r="E24" s="3" t="s">
        <v>502</v>
      </c>
      <c r="F24" s="2"/>
      <c r="J24" s="2">
        <v>7</v>
      </c>
      <c r="K24" s="2">
        <v>23</v>
      </c>
      <c r="L24" s="17">
        <f t="shared" si="1"/>
        <v>0.3280091272104963</v>
      </c>
      <c r="M24" s="2">
        <f t="shared" si="0"/>
        <v>7</v>
      </c>
      <c r="N24" s="17">
        <f t="shared" si="2"/>
        <v>0.25925925925925924</v>
      </c>
      <c r="R24" s="6">
        <v>4</v>
      </c>
      <c r="S24" s="6">
        <v>2</v>
      </c>
      <c r="U24" s="6">
        <v>1</v>
      </c>
    </row>
    <row r="25" spans="1:21" x14ac:dyDescent="0.25">
      <c r="A25" s="6">
        <v>26</v>
      </c>
      <c r="B25" s="8" t="s">
        <v>5</v>
      </c>
      <c r="C25" s="5" t="s">
        <v>16</v>
      </c>
      <c r="D25" s="3" t="s">
        <v>68</v>
      </c>
      <c r="E25" s="3" t="s">
        <v>503</v>
      </c>
      <c r="F25" s="2">
        <v>21</v>
      </c>
      <c r="G25" s="2">
        <v>37</v>
      </c>
      <c r="H25" s="2">
        <v>23</v>
      </c>
      <c r="I25" s="2">
        <v>4</v>
      </c>
      <c r="J25" s="2">
        <v>24</v>
      </c>
      <c r="K25" s="2">
        <v>23</v>
      </c>
      <c r="L25" s="17">
        <f t="shared" si="1"/>
        <v>0.3280091272104963</v>
      </c>
      <c r="M25" s="2">
        <f t="shared" si="0"/>
        <v>7</v>
      </c>
      <c r="N25" s="17">
        <f t="shared" si="2"/>
        <v>0.25925925925925924</v>
      </c>
      <c r="O25" s="6">
        <v>1</v>
      </c>
      <c r="Q25" s="6">
        <v>1</v>
      </c>
      <c r="R25" s="6">
        <v>1</v>
      </c>
      <c r="S25" s="6">
        <v>1</v>
      </c>
      <c r="T25" s="6">
        <v>2</v>
      </c>
      <c r="U25" s="6">
        <v>1</v>
      </c>
    </row>
    <row r="26" spans="1:21" x14ac:dyDescent="0.25">
      <c r="A26" s="6">
        <v>251</v>
      </c>
      <c r="B26" s="8" t="s">
        <v>7</v>
      </c>
      <c r="C26" s="5" t="s">
        <v>6</v>
      </c>
      <c r="D26" s="3" t="s">
        <v>405</v>
      </c>
      <c r="E26" s="3" t="s">
        <v>503</v>
      </c>
      <c r="F26" s="2"/>
      <c r="K26" s="2">
        <v>9</v>
      </c>
      <c r="L26" s="17">
        <f t="shared" si="1"/>
        <v>0.12835139760410724</v>
      </c>
      <c r="M26" s="2">
        <f t="shared" si="0"/>
        <v>7</v>
      </c>
      <c r="N26" s="17">
        <f t="shared" si="2"/>
        <v>0.25925925925925924</v>
      </c>
      <c r="S26" s="6">
        <v>1</v>
      </c>
      <c r="T26" s="6">
        <v>2</v>
      </c>
      <c r="U26" s="6">
        <v>4</v>
      </c>
    </row>
    <row r="27" spans="1:21" x14ac:dyDescent="0.25">
      <c r="A27" s="6">
        <v>40</v>
      </c>
      <c r="B27" s="8" t="s">
        <v>3</v>
      </c>
      <c r="C27" s="5" t="s">
        <v>51</v>
      </c>
      <c r="D27" s="3" t="s">
        <v>119</v>
      </c>
      <c r="E27" s="3" t="s">
        <v>502</v>
      </c>
      <c r="F27" s="2">
        <v>5</v>
      </c>
      <c r="G27" s="2">
        <v>6</v>
      </c>
      <c r="H27" s="2">
        <v>10</v>
      </c>
      <c r="I27" s="2">
        <v>3</v>
      </c>
      <c r="J27" s="2">
        <v>9</v>
      </c>
      <c r="K27" s="2">
        <v>6</v>
      </c>
      <c r="L27" s="17">
        <f t="shared" si="1"/>
        <v>8.5567598402738171E-2</v>
      </c>
      <c r="M27" s="2">
        <f t="shared" si="0"/>
        <v>7</v>
      </c>
      <c r="N27" s="17">
        <f t="shared" si="2"/>
        <v>0.25925925925925924</v>
      </c>
      <c r="O27" s="6">
        <v>1</v>
      </c>
      <c r="T27" s="6">
        <v>1</v>
      </c>
      <c r="U27" s="6">
        <v>5</v>
      </c>
    </row>
    <row r="28" spans="1:21" x14ac:dyDescent="0.25">
      <c r="A28" s="6">
        <v>23</v>
      </c>
      <c r="B28" s="8" t="s">
        <v>1</v>
      </c>
      <c r="C28" s="5" t="s">
        <v>6</v>
      </c>
      <c r="D28" s="3" t="s">
        <v>61</v>
      </c>
      <c r="E28" s="3" t="s">
        <v>502</v>
      </c>
      <c r="F28" s="2">
        <v>6</v>
      </c>
      <c r="G28" s="2">
        <v>9</v>
      </c>
      <c r="H28" s="2">
        <v>30</v>
      </c>
      <c r="I28" s="2">
        <v>5</v>
      </c>
      <c r="J28" s="2">
        <v>10</v>
      </c>
      <c r="K28" s="2">
        <v>3</v>
      </c>
      <c r="L28" s="17">
        <f t="shared" si="1"/>
        <v>4.2783799201369085E-2</v>
      </c>
      <c r="M28" s="2">
        <f t="shared" si="0"/>
        <v>6</v>
      </c>
      <c r="N28" s="17">
        <f t="shared" si="2"/>
        <v>0.22222222222222221</v>
      </c>
      <c r="O28" s="6">
        <v>1</v>
      </c>
      <c r="P28" s="6">
        <v>1</v>
      </c>
      <c r="R28" s="6">
        <v>3</v>
      </c>
      <c r="S28" s="6">
        <v>1</v>
      </c>
    </row>
    <row r="29" spans="1:21" x14ac:dyDescent="0.25">
      <c r="A29" s="6">
        <v>61</v>
      </c>
      <c r="B29" s="8" t="s">
        <v>23</v>
      </c>
      <c r="C29" s="5" t="s">
        <v>24</v>
      </c>
      <c r="D29" s="3" t="s">
        <v>84</v>
      </c>
      <c r="E29" s="3" t="s">
        <v>502</v>
      </c>
      <c r="F29" s="2">
        <v>8</v>
      </c>
      <c r="G29" s="2">
        <v>35</v>
      </c>
      <c r="H29" s="2">
        <v>6</v>
      </c>
      <c r="I29" s="2">
        <v>0</v>
      </c>
      <c r="J29" s="2">
        <v>14</v>
      </c>
      <c r="K29" s="2">
        <v>7</v>
      </c>
      <c r="L29" s="17">
        <f t="shared" si="1"/>
        <v>9.9828864803194528E-2</v>
      </c>
      <c r="M29" s="2">
        <f t="shared" si="0"/>
        <v>6</v>
      </c>
      <c r="N29" s="17">
        <f t="shared" si="2"/>
        <v>0.22222222222222221</v>
      </c>
      <c r="P29" s="6">
        <v>2</v>
      </c>
      <c r="Q29" s="6">
        <v>2</v>
      </c>
      <c r="R29" s="6">
        <v>1</v>
      </c>
      <c r="T29" s="6">
        <v>1</v>
      </c>
    </row>
    <row r="30" spans="1:21" x14ac:dyDescent="0.25">
      <c r="A30" s="6">
        <v>123</v>
      </c>
      <c r="B30" s="8" t="s">
        <v>0</v>
      </c>
      <c r="C30" s="2" t="s">
        <v>210</v>
      </c>
      <c r="D30" s="3" t="s">
        <v>209</v>
      </c>
      <c r="E30" s="3" t="s">
        <v>504</v>
      </c>
      <c r="F30" s="2"/>
      <c r="J30" s="2">
        <v>27</v>
      </c>
      <c r="K30" s="2">
        <v>41</v>
      </c>
      <c r="L30" s="17">
        <f t="shared" si="1"/>
        <v>0.58471192241871073</v>
      </c>
      <c r="M30" s="2">
        <f t="shared" si="0"/>
        <v>6</v>
      </c>
      <c r="N30" s="17">
        <f t="shared" si="2"/>
        <v>0.22222222222222221</v>
      </c>
      <c r="R30" s="6">
        <v>1</v>
      </c>
      <c r="T30" s="6">
        <v>1</v>
      </c>
      <c r="U30" s="6">
        <v>4</v>
      </c>
    </row>
    <row r="31" spans="1:21" x14ac:dyDescent="0.25">
      <c r="A31" s="6">
        <v>118</v>
      </c>
      <c r="B31" s="8" t="s">
        <v>20</v>
      </c>
      <c r="C31" s="5" t="s">
        <v>6</v>
      </c>
      <c r="D31" s="3" t="s">
        <v>202</v>
      </c>
      <c r="E31" s="3" t="s">
        <v>503</v>
      </c>
      <c r="F31" s="2"/>
      <c r="G31" s="2"/>
      <c r="H31" s="2"/>
      <c r="I31" s="2"/>
      <c r="J31" s="2">
        <v>5</v>
      </c>
      <c r="K31" s="2">
        <v>21</v>
      </c>
      <c r="L31" s="17">
        <f t="shared" si="1"/>
        <v>0.29948659440958358</v>
      </c>
      <c r="M31" s="2">
        <f t="shared" si="0"/>
        <v>6</v>
      </c>
      <c r="N31" s="17">
        <f t="shared" si="2"/>
        <v>0.22222222222222221</v>
      </c>
      <c r="P31" s="6">
        <v>1</v>
      </c>
      <c r="T31" s="6">
        <v>3</v>
      </c>
      <c r="U31" s="6">
        <v>2</v>
      </c>
    </row>
    <row r="32" spans="1:21" x14ac:dyDescent="0.25">
      <c r="A32" s="6">
        <v>132</v>
      </c>
      <c r="B32" s="8" t="s">
        <v>14</v>
      </c>
      <c r="C32" s="5" t="s">
        <v>6</v>
      </c>
      <c r="D32" s="3" t="s">
        <v>228</v>
      </c>
      <c r="E32" s="3" t="s">
        <v>503</v>
      </c>
      <c r="F32" s="2"/>
      <c r="G32" s="2"/>
      <c r="H32" s="2"/>
      <c r="I32" s="2"/>
      <c r="J32" s="2">
        <v>14</v>
      </c>
      <c r="K32" s="2">
        <v>15</v>
      </c>
      <c r="L32" s="17">
        <f t="shared" si="1"/>
        <v>0.21391899600684541</v>
      </c>
      <c r="M32" s="2">
        <f t="shared" si="0"/>
        <v>6</v>
      </c>
      <c r="N32" s="17">
        <f t="shared" si="2"/>
        <v>0.22222222222222221</v>
      </c>
      <c r="P32" s="6">
        <v>1</v>
      </c>
      <c r="R32" s="6">
        <v>1</v>
      </c>
      <c r="T32" s="6">
        <v>2</v>
      </c>
      <c r="U32" s="6">
        <v>2</v>
      </c>
    </row>
    <row r="33" spans="1:21" x14ac:dyDescent="0.25">
      <c r="A33" s="6">
        <v>20</v>
      </c>
      <c r="B33" s="8" t="s">
        <v>5</v>
      </c>
      <c r="C33" s="2" t="s">
        <v>53</v>
      </c>
      <c r="D33" s="3" t="s">
        <v>91</v>
      </c>
      <c r="E33" s="3" t="s">
        <v>502</v>
      </c>
      <c r="F33" s="2">
        <v>5</v>
      </c>
      <c r="G33" s="2">
        <v>23</v>
      </c>
      <c r="H33" s="2">
        <v>20</v>
      </c>
      <c r="I33" s="2">
        <v>5</v>
      </c>
      <c r="J33" s="2">
        <v>32</v>
      </c>
      <c r="K33" s="2">
        <v>22</v>
      </c>
      <c r="L33" s="17">
        <f t="shared" si="1"/>
        <v>0.31374786081003997</v>
      </c>
      <c r="M33" s="2">
        <f t="shared" si="0"/>
        <v>6</v>
      </c>
      <c r="N33" s="17">
        <f t="shared" si="2"/>
        <v>0.22222222222222221</v>
      </c>
      <c r="O33" s="6">
        <v>1</v>
      </c>
      <c r="R33" s="6">
        <v>2</v>
      </c>
      <c r="T33" s="6">
        <v>2</v>
      </c>
      <c r="U33" s="6">
        <v>1</v>
      </c>
    </row>
    <row r="34" spans="1:21" x14ac:dyDescent="0.25">
      <c r="A34" s="6">
        <v>165</v>
      </c>
      <c r="B34" s="3" t="s">
        <v>32</v>
      </c>
      <c r="C34" s="5" t="s">
        <v>6</v>
      </c>
      <c r="D34" s="3" t="s">
        <v>232</v>
      </c>
      <c r="E34" s="3" t="s">
        <v>503</v>
      </c>
      <c r="F34" s="2"/>
      <c r="J34" s="2">
        <v>8</v>
      </c>
      <c r="K34" s="2">
        <v>12</v>
      </c>
      <c r="L34" s="17">
        <f t="shared" si="1"/>
        <v>0.17113519680547634</v>
      </c>
      <c r="M34" s="2">
        <f t="shared" ref="M34:M65" si="3">SUM(O34:AP34)</f>
        <v>6</v>
      </c>
      <c r="N34" s="17">
        <f t="shared" si="2"/>
        <v>0.22222222222222221</v>
      </c>
      <c r="P34" s="6">
        <v>1</v>
      </c>
      <c r="T34" s="6">
        <v>2</v>
      </c>
      <c r="U34" s="6">
        <v>3</v>
      </c>
    </row>
    <row r="35" spans="1:21" x14ac:dyDescent="0.25">
      <c r="A35" s="6">
        <v>166</v>
      </c>
      <c r="B35" s="8" t="s">
        <v>229</v>
      </c>
      <c r="C35" s="1" t="s">
        <v>6</v>
      </c>
      <c r="D35" s="3" t="s">
        <v>232</v>
      </c>
      <c r="E35" s="3" t="s">
        <v>503</v>
      </c>
      <c r="F35" s="2"/>
      <c r="J35" s="2">
        <v>3</v>
      </c>
      <c r="K35" s="2">
        <v>4</v>
      </c>
      <c r="L35" s="17">
        <f t="shared" si="1"/>
        <v>5.7045065601825436E-2</v>
      </c>
      <c r="M35" s="2">
        <f t="shared" si="3"/>
        <v>6</v>
      </c>
      <c r="N35" s="17">
        <f t="shared" si="2"/>
        <v>0.22222222222222221</v>
      </c>
      <c r="P35" s="6">
        <v>1</v>
      </c>
      <c r="T35" s="6">
        <v>3</v>
      </c>
      <c r="U35" s="6">
        <v>2</v>
      </c>
    </row>
    <row r="36" spans="1:21" x14ac:dyDescent="0.25">
      <c r="B36" s="8" t="s">
        <v>5</v>
      </c>
      <c r="C36" s="5" t="s">
        <v>6</v>
      </c>
      <c r="D36" s="3" t="s">
        <v>296</v>
      </c>
      <c r="E36" s="3" t="s">
        <v>503</v>
      </c>
      <c r="F36" s="2"/>
      <c r="L36" s="17">
        <f t="shared" si="1"/>
        <v>0</v>
      </c>
      <c r="M36" s="2">
        <f t="shared" si="3"/>
        <v>6</v>
      </c>
      <c r="N36" s="17">
        <f t="shared" si="2"/>
        <v>0.22222222222222221</v>
      </c>
      <c r="T36" s="6">
        <v>3</v>
      </c>
      <c r="U36" s="6">
        <v>3</v>
      </c>
    </row>
    <row r="37" spans="1:21" x14ac:dyDescent="0.25">
      <c r="A37" s="6">
        <v>15</v>
      </c>
      <c r="B37" s="8" t="s">
        <v>7</v>
      </c>
      <c r="C37" s="2" t="s">
        <v>33</v>
      </c>
      <c r="D37" s="3" t="s">
        <v>87</v>
      </c>
      <c r="E37" s="3" t="s">
        <v>503</v>
      </c>
      <c r="F37" s="2">
        <v>5</v>
      </c>
      <c r="G37" s="2">
        <v>28</v>
      </c>
      <c r="H37" s="2">
        <v>14</v>
      </c>
      <c r="I37" s="2">
        <v>6</v>
      </c>
      <c r="J37" s="2">
        <v>18</v>
      </c>
      <c r="K37" s="2">
        <v>14</v>
      </c>
      <c r="L37" s="17">
        <f t="shared" si="1"/>
        <v>0.19965772960638906</v>
      </c>
      <c r="M37" s="2">
        <f t="shared" si="3"/>
        <v>5</v>
      </c>
      <c r="N37" s="17">
        <f t="shared" si="2"/>
        <v>0.1851851851851852</v>
      </c>
      <c r="P37" s="6">
        <v>1</v>
      </c>
      <c r="S37" s="6">
        <v>1</v>
      </c>
      <c r="T37" s="6">
        <v>2</v>
      </c>
      <c r="U37" s="6">
        <v>1</v>
      </c>
    </row>
    <row r="38" spans="1:21" x14ac:dyDescent="0.25">
      <c r="A38" s="6">
        <v>17</v>
      </c>
      <c r="B38" s="8" t="s">
        <v>80</v>
      </c>
      <c r="C38" s="2" t="s">
        <v>46</v>
      </c>
      <c r="D38" s="3" t="s">
        <v>93</v>
      </c>
      <c r="E38" s="3" t="s">
        <v>502</v>
      </c>
      <c r="F38" s="2">
        <v>2</v>
      </c>
      <c r="G38" s="2">
        <v>15</v>
      </c>
      <c r="H38" s="2">
        <v>13</v>
      </c>
      <c r="I38" s="2">
        <v>6</v>
      </c>
      <c r="J38" s="2">
        <v>11</v>
      </c>
      <c r="K38" s="2">
        <v>6</v>
      </c>
      <c r="L38" s="17">
        <f t="shared" si="1"/>
        <v>8.5567598402738171E-2</v>
      </c>
      <c r="M38" s="2">
        <f t="shared" si="3"/>
        <v>5</v>
      </c>
      <c r="N38" s="17">
        <f t="shared" si="2"/>
        <v>0.1851851851851852</v>
      </c>
      <c r="O38" s="6">
        <v>3</v>
      </c>
      <c r="R38" s="6">
        <v>2</v>
      </c>
    </row>
    <row r="39" spans="1:21" x14ac:dyDescent="0.25">
      <c r="A39" s="6">
        <v>18</v>
      </c>
      <c r="B39" s="8" t="s">
        <v>7</v>
      </c>
      <c r="C39" s="2" t="s">
        <v>52</v>
      </c>
      <c r="D39" s="3" t="s">
        <v>111</v>
      </c>
      <c r="E39" s="3" t="s">
        <v>502</v>
      </c>
      <c r="F39" s="2">
        <v>7</v>
      </c>
      <c r="G39" s="2">
        <v>14</v>
      </c>
      <c r="H39" s="2">
        <v>8</v>
      </c>
      <c r="I39" s="2">
        <v>6</v>
      </c>
      <c r="J39" s="2">
        <v>11</v>
      </c>
      <c r="K39" s="2">
        <v>29</v>
      </c>
      <c r="L39" s="17">
        <f t="shared" si="1"/>
        <v>0.4135767256132345</v>
      </c>
      <c r="M39" s="2">
        <f t="shared" si="3"/>
        <v>5</v>
      </c>
      <c r="N39" s="17">
        <f t="shared" si="2"/>
        <v>0.1851851851851852</v>
      </c>
      <c r="O39" s="6">
        <v>1</v>
      </c>
      <c r="P39" s="6">
        <v>1</v>
      </c>
      <c r="S39" s="6">
        <v>3</v>
      </c>
    </row>
    <row r="40" spans="1:21" x14ac:dyDescent="0.25">
      <c r="A40" s="6">
        <v>53</v>
      </c>
      <c r="B40" s="8" t="s">
        <v>19</v>
      </c>
      <c r="C40" s="5" t="s">
        <v>6</v>
      </c>
      <c r="D40" s="3" t="s">
        <v>17</v>
      </c>
      <c r="E40" s="3" t="s">
        <v>503</v>
      </c>
      <c r="F40" s="2">
        <v>5</v>
      </c>
      <c r="G40" s="2">
        <v>1</v>
      </c>
      <c r="H40" s="2">
        <v>3</v>
      </c>
      <c r="I40" s="2">
        <v>1</v>
      </c>
      <c r="J40" s="2">
        <v>4</v>
      </c>
      <c r="K40" s="2">
        <v>0</v>
      </c>
      <c r="L40" s="17">
        <f t="shared" si="1"/>
        <v>0</v>
      </c>
      <c r="M40" s="2">
        <f t="shared" si="3"/>
        <v>5</v>
      </c>
      <c r="N40" s="17">
        <f t="shared" si="2"/>
        <v>0.1851851851851852</v>
      </c>
      <c r="R40" s="6">
        <v>3</v>
      </c>
      <c r="T40" s="6">
        <v>2</v>
      </c>
    </row>
    <row r="41" spans="1:21" x14ac:dyDescent="0.25">
      <c r="A41" s="6">
        <v>116</v>
      </c>
      <c r="B41" s="8" t="s">
        <v>5</v>
      </c>
      <c r="C41" s="5" t="s">
        <v>199</v>
      </c>
      <c r="D41" s="3" t="s">
        <v>198</v>
      </c>
      <c r="E41" s="3" t="s">
        <v>503</v>
      </c>
      <c r="F41" s="2"/>
      <c r="G41" s="2"/>
      <c r="H41" s="2"/>
      <c r="I41" s="2"/>
      <c r="J41" s="2">
        <v>8</v>
      </c>
      <c r="K41" s="2">
        <v>10</v>
      </c>
      <c r="L41" s="17">
        <f t="shared" si="1"/>
        <v>0.1426126640045636</v>
      </c>
      <c r="M41" s="2">
        <f t="shared" si="3"/>
        <v>5</v>
      </c>
      <c r="N41" s="17">
        <f t="shared" si="2"/>
        <v>0.1851851851851852</v>
      </c>
      <c r="O41" s="6">
        <v>1</v>
      </c>
      <c r="P41" s="6">
        <v>2</v>
      </c>
      <c r="R41" s="6">
        <v>1</v>
      </c>
      <c r="T41" s="6">
        <v>1</v>
      </c>
    </row>
    <row r="42" spans="1:21" x14ac:dyDescent="0.25">
      <c r="A42" s="6">
        <v>62</v>
      </c>
      <c r="B42" s="8" t="s">
        <v>23</v>
      </c>
      <c r="C42" s="5" t="s">
        <v>59</v>
      </c>
      <c r="D42" s="3" t="s">
        <v>78</v>
      </c>
      <c r="E42" s="3" t="s">
        <v>502</v>
      </c>
      <c r="F42" s="2">
        <v>4</v>
      </c>
      <c r="G42" s="2">
        <v>27</v>
      </c>
      <c r="H42" s="2">
        <v>6</v>
      </c>
      <c r="I42" s="2">
        <v>0</v>
      </c>
      <c r="J42" s="2">
        <v>9</v>
      </c>
      <c r="K42" s="2">
        <v>5</v>
      </c>
      <c r="L42" s="17">
        <f t="shared" si="1"/>
        <v>7.13063320022818E-2</v>
      </c>
      <c r="M42" s="2">
        <f t="shared" si="3"/>
        <v>5</v>
      </c>
      <c r="N42" s="17">
        <f t="shared" si="2"/>
        <v>0.1851851851851852</v>
      </c>
      <c r="P42" s="6">
        <v>1</v>
      </c>
      <c r="Q42" s="6">
        <v>2</v>
      </c>
      <c r="T42" s="6">
        <v>1</v>
      </c>
      <c r="U42" s="6">
        <v>1</v>
      </c>
    </row>
    <row r="43" spans="1:21" x14ac:dyDescent="0.25">
      <c r="A43" s="6">
        <v>81</v>
      </c>
      <c r="B43" s="8" t="s">
        <v>0</v>
      </c>
      <c r="C43" s="5" t="s">
        <v>145</v>
      </c>
      <c r="D43" s="3" t="s">
        <v>146</v>
      </c>
      <c r="E43" s="3" t="s">
        <v>504</v>
      </c>
      <c r="F43" s="2"/>
      <c r="G43" s="2"/>
      <c r="H43" s="2"/>
      <c r="I43" s="2"/>
      <c r="J43" s="2">
        <v>35</v>
      </c>
      <c r="K43" s="2">
        <v>40</v>
      </c>
      <c r="L43" s="17">
        <f t="shared" si="1"/>
        <v>0.5704506560182544</v>
      </c>
      <c r="M43" s="2">
        <f t="shared" si="3"/>
        <v>5</v>
      </c>
      <c r="N43" s="17">
        <f t="shared" si="2"/>
        <v>0.1851851851851852</v>
      </c>
      <c r="R43" s="6">
        <v>1</v>
      </c>
      <c r="T43" s="6">
        <v>1</v>
      </c>
      <c r="U43" s="6">
        <v>3</v>
      </c>
    </row>
    <row r="44" spans="1:21" x14ac:dyDescent="0.25">
      <c r="A44" s="6">
        <v>137</v>
      </c>
      <c r="B44" s="8" t="s">
        <v>137</v>
      </c>
      <c r="C44" s="5" t="s">
        <v>6</v>
      </c>
      <c r="D44" s="3" t="s">
        <v>232</v>
      </c>
      <c r="E44" s="3" t="s">
        <v>503</v>
      </c>
      <c r="F44" s="2"/>
      <c r="G44" s="2"/>
      <c r="H44" s="2"/>
      <c r="I44" s="2"/>
      <c r="J44" s="2">
        <v>4</v>
      </c>
      <c r="K44" s="2">
        <v>8</v>
      </c>
      <c r="L44" s="17">
        <f t="shared" si="1"/>
        <v>0.11409013120365087</v>
      </c>
      <c r="M44" s="2">
        <f t="shared" si="3"/>
        <v>5</v>
      </c>
      <c r="N44" s="17">
        <f t="shared" si="2"/>
        <v>0.1851851851851852</v>
      </c>
      <c r="P44" s="6">
        <v>1</v>
      </c>
      <c r="S44" s="6">
        <v>2</v>
      </c>
      <c r="T44" s="6">
        <v>2</v>
      </c>
    </row>
    <row r="45" spans="1:21" x14ac:dyDescent="0.25">
      <c r="A45" s="6">
        <v>164</v>
      </c>
      <c r="B45" s="8" t="s">
        <v>176</v>
      </c>
      <c r="C45" s="6" t="s">
        <v>6</v>
      </c>
      <c r="D45" s="3" t="s">
        <v>232</v>
      </c>
      <c r="E45" s="3" t="s">
        <v>503</v>
      </c>
      <c r="J45" s="2">
        <v>2</v>
      </c>
      <c r="K45" s="2">
        <v>2</v>
      </c>
      <c r="L45" s="17">
        <f t="shared" si="1"/>
        <v>2.8522532800912718E-2</v>
      </c>
      <c r="M45" s="2">
        <f t="shared" si="3"/>
        <v>5</v>
      </c>
      <c r="N45" s="17">
        <f t="shared" si="2"/>
        <v>0.1851851851851852</v>
      </c>
      <c r="P45" s="6">
        <v>1</v>
      </c>
      <c r="T45" s="6">
        <v>2</v>
      </c>
      <c r="U45" s="6">
        <v>2</v>
      </c>
    </row>
    <row r="46" spans="1:21" x14ac:dyDescent="0.25">
      <c r="A46" s="6">
        <v>176</v>
      </c>
      <c r="B46" s="8" t="s">
        <v>0</v>
      </c>
      <c r="C46" s="5" t="s">
        <v>6</v>
      </c>
      <c r="D46" s="3" t="s">
        <v>232</v>
      </c>
      <c r="E46" s="3" t="s">
        <v>503</v>
      </c>
      <c r="F46" s="2"/>
      <c r="J46" s="2">
        <v>9</v>
      </c>
      <c r="K46" s="2">
        <v>13</v>
      </c>
      <c r="L46" s="17">
        <f t="shared" si="1"/>
        <v>0.18539646320593267</v>
      </c>
      <c r="M46" s="2">
        <f t="shared" si="3"/>
        <v>5</v>
      </c>
      <c r="N46" s="17">
        <f t="shared" si="2"/>
        <v>0.1851851851851852</v>
      </c>
      <c r="P46" s="6">
        <v>1</v>
      </c>
      <c r="S46" s="6">
        <v>1</v>
      </c>
      <c r="T46" s="6">
        <v>1</v>
      </c>
      <c r="U46" s="6">
        <v>2</v>
      </c>
    </row>
    <row r="47" spans="1:21" x14ac:dyDescent="0.25">
      <c r="A47" s="6">
        <v>162</v>
      </c>
      <c r="B47" s="8" t="s">
        <v>5</v>
      </c>
      <c r="C47" s="5" t="s">
        <v>6</v>
      </c>
      <c r="D47" s="3" t="s">
        <v>232</v>
      </c>
      <c r="E47" s="3" t="s">
        <v>503</v>
      </c>
      <c r="F47" s="2"/>
      <c r="J47" s="2">
        <v>3</v>
      </c>
      <c r="K47" s="2">
        <v>6</v>
      </c>
      <c r="L47" s="17">
        <f t="shared" si="1"/>
        <v>8.5567598402738171E-2</v>
      </c>
      <c r="M47" s="2">
        <f t="shared" si="3"/>
        <v>4</v>
      </c>
      <c r="N47" s="17">
        <f t="shared" si="2"/>
        <v>0.14814814814814814</v>
      </c>
      <c r="P47" s="6">
        <v>1</v>
      </c>
      <c r="T47" s="6">
        <v>1</v>
      </c>
      <c r="U47" s="6">
        <v>2</v>
      </c>
    </row>
    <row r="48" spans="1:21" x14ac:dyDescent="0.25">
      <c r="A48" s="6">
        <v>11</v>
      </c>
      <c r="B48" s="8" t="s">
        <v>7</v>
      </c>
      <c r="C48" s="2" t="s">
        <v>34</v>
      </c>
      <c r="D48" s="3" t="s">
        <v>72</v>
      </c>
      <c r="E48" s="3"/>
      <c r="F48" s="2">
        <v>11</v>
      </c>
      <c r="G48" s="2">
        <v>25</v>
      </c>
      <c r="H48" s="2">
        <v>48</v>
      </c>
      <c r="I48" s="2">
        <v>8</v>
      </c>
      <c r="J48" s="2">
        <v>17</v>
      </c>
      <c r="K48" s="2">
        <v>20</v>
      </c>
      <c r="L48" s="17">
        <f t="shared" si="1"/>
        <v>0.2852253280091272</v>
      </c>
      <c r="M48" s="2">
        <f t="shared" si="3"/>
        <v>4</v>
      </c>
      <c r="N48" s="17">
        <f t="shared" si="2"/>
        <v>0.14814814814814814</v>
      </c>
      <c r="O48" s="6">
        <v>1</v>
      </c>
      <c r="S48" s="6">
        <v>1</v>
      </c>
      <c r="U48" s="6">
        <v>2</v>
      </c>
    </row>
    <row r="49" spans="1:21" x14ac:dyDescent="0.25">
      <c r="A49" s="6">
        <v>73</v>
      </c>
      <c r="B49" s="8" t="s">
        <v>7</v>
      </c>
      <c r="C49" s="5" t="s">
        <v>132</v>
      </c>
      <c r="D49" s="3" t="s">
        <v>133</v>
      </c>
      <c r="E49" s="3"/>
      <c r="F49" s="2"/>
      <c r="G49" s="2"/>
      <c r="H49" s="2"/>
      <c r="I49" s="2"/>
      <c r="J49" s="2">
        <v>8</v>
      </c>
      <c r="K49" s="2">
        <v>0</v>
      </c>
      <c r="L49" s="17">
        <f t="shared" si="1"/>
        <v>0</v>
      </c>
      <c r="M49" s="2">
        <f t="shared" si="3"/>
        <v>4</v>
      </c>
      <c r="N49" s="17">
        <f t="shared" si="2"/>
        <v>0.14814814814814814</v>
      </c>
      <c r="R49" s="6">
        <v>4</v>
      </c>
    </row>
    <row r="50" spans="1:21" x14ac:dyDescent="0.25">
      <c r="A50" s="6">
        <v>74</v>
      </c>
      <c r="B50" s="8" t="s">
        <v>7</v>
      </c>
      <c r="C50" s="5" t="s">
        <v>135</v>
      </c>
      <c r="D50" s="3" t="s">
        <v>136</v>
      </c>
      <c r="E50" s="3"/>
      <c r="F50" s="2"/>
      <c r="G50" s="2"/>
      <c r="H50" s="2"/>
      <c r="I50" s="2"/>
      <c r="J50" s="2">
        <v>4</v>
      </c>
      <c r="K50" s="2">
        <v>5</v>
      </c>
      <c r="L50" s="17">
        <f t="shared" si="1"/>
        <v>7.13063320022818E-2</v>
      </c>
      <c r="M50" s="2">
        <f t="shared" si="3"/>
        <v>4</v>
      </c>
      <c r="N50" s="17">
        <f t="shared" si="2"/>
        <v>0.14814814814814814</v>
      </c>
      <c r="R50" s="6">
        <v>2</v>
      </c>
      <c r="T50" s="6">
        <v>2</v>
      </c>
    </row>
    <row r="51" spans="1:21" x14ac:dyDescent="0.25">
      <c r="A51" s="6">
        <v>89</v>
      </c>
      <c r="B51" s="8" t="s">
        <v>0</v>
      </c>
      <c r="C51" s="5" t="s">
        <v>39</v>
      </c>
      <c r="D51" s="3" t="s">
        <v>157</v>
      </c>
      <c r="E51" s="3"/>
      <c r="F51" s="2"/>
      <c r="G51" s="2"/>
      <c r="H51" s="2"/>
      <c r="I51" s="2"/>
      <c r="J51" s="2">
        <v>35</v>
      </c>
      <c r="K51" s="2">
        <v>26</v>
      </c>
      <c r="L51" s="17">
        <f t="shared" si="1"/>
        <v>0.37079292641186534</v>
      </c>
      <c r="M51" s="2">
        <f t="shared" si="3"/>
        <v>4</v>
      </c>
      <c r="N51" s="17">
        <f t="shared" si="2"/>
        <v>0.14814814814814814</v>
      </c>
      <c r="R51" s="6">
        <v>1</v>
      </c>
      <c r="T51" s="6">
        <v>1</v>
      </c>
      <c r="U51" s="6">
        <v>2</v>
      </c>
    </row>
    <row r="52" spans="1:21" x14ac:dyDescent="0.25">
      <c r="A52" s="6">
        <v>114</v>
      </c>
      <c r="B52" s="8" t="s">
        <v>30</v>
      </c>
      <c r="C52" s="5" t="s">
        <v>196</v>
      </c>
      <c r="D52" s="3" t="s">
        <v>195</v>
      </c>
      <c r="E52" s="3"/>
      <c r="F52" s="2"/>
      <c r="G52" s="2"/>
      <c r="H52" s="2"/>
      <c r="I52" s="2"/>
      <c r="J52" s="2">
        <v>24</v>
      </c>
      <c r="K52" s="2">
        <v>11</v>
      </c>
      <c r="L52" s="17">
        <f t="shared" si="1"/>
        <v>0.15687393040501998</v>
      </c>
      <c r="M52" s="2">
        <f t="shared" si="3"/>
        <v>4</v>
      </c>
      <c r="N52" s="17">
        <f t="shared" si="2"/>
        <v>0.14814814814814814</v>
      </c>
      <c r="T52" s="6">
        <v>4</v>
      </c>
    </row>
    <row r="53" spans="1:21" x14ac:dyDescent="0.25">
      <c r="A53" s="6">
        <v>148</v>
      </c>
      <c r="B53" s="8" t="s">
        <v>20</v>
      </c>
      <c r="C53" s="5" t="s">
        <v>255</v>
      </c>
      <c r="D53" s="3" t="s">
        <v>254</v>
      </c>
      <c r="E53" s="3"/>
      <c r="J53" s="2">
        <v>5</v>
      </c>
      <c r="K53" s="2">
        <v>10</v>
      </c>
      <c r="L53" s="17">
        <f t="shared" si="1"/>
        <v>0.1426126640045636</v>
      </c>
      <c r="M53" s="2">
        <f t="shared" si="3"/>
        <v>4</v>
      </c>
      <c r="N53" s="17">
        <f t="shared" si="2"/>
        <v>0.14814814814814814</v>
      </c>
      <c r="R53" s="6">
        <v>2</v>
      </c>
      <c r="S53" s="6">
        <v>1</v>
      </c>
      <c r="U53" s="6">
        <v>1</v>
      </c>
    </row>
    <row r="54" spans="1:21" x14ac:dyDescent="0.25">
      <c r="A54" s="6">
        <v>212</v>
      </c>
      <c r="B54" s="8" t="s">
        <v>20</v>
      </c>
      <c r="C54" s="5" t="s">
        <v>341</v>
      </c>
      <c r="D54" s="3" t="s">
        <v>340</v>
      </c>
      <c r="E54" s="3"/>
      <c r="F54" s="2"/>
      <c r="J54" s="2">
        <v>2</v>
      </c>
      <c r="K54" s="2">
        <v>24</v>
      </c>
      <c r="L54" s="17">
        <f t="shared" si="1"/>
        <v>0.34227039361095268</v>
      </c>
      <c r="M54" s="2">
        <f t="shared" si="3"/>
        <v>4</v>
      </c>
      <c r="N54" s="17">
        <f t="shared" si="2"/>
        <v>0.14814814814814814</v>
      </c>
      <c r="S54" s="6">
        <v>3</v>
      </c>
      <c r="U54" s="6">
        <v>1</v>
      </c>
    </row>
    <row r="55" spans="1:21" x14ac:dyDescent="0.25">
      <c r="A55" s="6">
        <v>163</v>
      </c>
      <c r="B55" s="3" t="s">
        <v>12</v>
      </c>
      <c r="C55" s="5" t="s">
        <v>6</v>
      </c>
      <c r="D55" s="3" t="s">
        <v>232</v>
      </c>
      <c r="E55" s="3"/>
      <c r="F55" s="2"/>
      <c r="J55" s="2">
        <v>3</v>
      </c>
      <c r="K55" s="2">
        <v>2</v>
      </c>
      <c r="L55" s="17">
        <f t="shared" si="1"/>
        <v>2.8522532800912718E-2</v>
      </c>
      <c r="M55" s="2">
        <f t="shared" si="3"/>
        <v>4</v>
      </c>
      <c r="N55" s="17">
        <f t="shared" si="2"/>
        <v>0.14814814814814814</v>
      </c>
      <c r="P55" s="6">
        <v>1</v>
      </c>
      <c r="T55" s="6">
        <v>1</v>
      </c>
      <c r="U55" s="6">
        <v>2</v>
      </c>
    </row>
    <row r="56" spans="1:21" x14ac:dyDescent="0.25">
      <c r="A56" s="6">
        <v>149</v>
      </c>
      <c r="B56" s="8" t="s">
        <v>20</v>
      </c>
      <c r="C56" s="5" t="s">
        <v>257</v>
      </c>
      <c r="D56" s="3" t="s">
        <v>256</v>
      </c>
      <c r="E56" s="3"/>
      <c r="J56" s="2">
        <v>3</v>
      </c>
      <c r="K56" s="2">
        <v>11</v>
      </c>
      <c r="L56" s="17">
        <f t="shared" si="1"/>
        <v>0.15687393040501998</v>
      </c>
      <c r="M56" s="2">
        <f t="shared" si="3"/>
        <v>4</v>
      </c>
      <c r="N56" s="17">
        <f t="shared" si="2"/>
        <v>0.14814814814814814</v>
      </c>
      <c r="R56" s="6">
        <v>2</v>
      </c>
      <c r="S56" s="6">
        <v>1</v>
      </c>
      <c r="U56" s="6">
        <v>1</v>
      </c>
    </row>
    <row r="57" spans="1:21" x14ac:dyDescent="0.25">
      <c r="A57" s="6">
        <v>210</v>
      </c>
      <c r="B57" s="8" t="s">
        <v>7</v>
      </c>
      <c r="C57" s="5" t="s">
        <v>339</v>
      </c>
      <c r="D57" s="3" t="s">
        <v>338</v>
      </c>
      <c r="E57" s="3"/>
      <c r="F57" s="2"/>
      <c r="J57" s="2">
        <v>3</v>
      </c>
      <c r="K57" s="2">
        <v>26</v>
      </c>
      <c r="L57" s="17">
        <f t="shared" si="1"/>
        <v>0.37079292641186534</v>
      </c>
      <c r="M57" s="2">
        <f t="shared" si="3"/>
        <v>4</v>
      </c>
      <c r="N57" s="17">
        <f t="shared" si="2"/>
        <v>0.14814814814814814</v>
      </c>
      <c r="O57" s="6">
        <v>2</v>
      </c>
      <c r="Q57" s="6">
        <v>2</v>
      </c>
    </row>
    <row r="58" spans="1:21" x14ac:dyDescent="0.25">
      <c r="A58" s="6">
        <v>211</v>
      </c>
      <c r="B58" s="1" t="s">
        <v>1</v>
      </c>
      <c r="C58" s="5" t="s">
        <v>6</v>
      </c>
      <c r="D58" s="3" t="s">
        <v>232</v>
      </c>
      <c r="E58" s="3"/>
      <c r="F58" s="2"/>
      <c r="J58" s="2">
        <v>3</v>
      </c>
      <c r="K58" s="2">
        <v>8</v>
      </c>
      <c r="L58" s="17">
        <f t="shared" si="1"/>
        <v>0.11409013120365087</v>
      </c>
      <c r="M58" s="2">
        <f t="shared" si="3"/>
        <v>4</v>
      </c>
      <c r="N58" s="17">
        <f t="shared" si="2"/>
        <v>0.14814814814814814</v>
      </c>
      <c r="Q58" s="6">
        <v>1</v>
      </c>
      <c r="T58" s="6">
        <v>2</v>
      </c>
      <c r="U58" s="6">
        <v>1</v>
      </c>
    </row>
    <row r="59" spans="1:21" x14ac:dyDescent="0.25">
      <c r="A59" s="6">
        <v>248</v>
      </c>
      <c r="B59" s="8" t="s">
        <v>20</v>
      </c>
      <c r="C59" s="5" t="s">
        <v>397</v>
      </c>
      <c r="D59" s="3" t="s">
        <v>398</v>
      </c>
      <c r="E59" s="3"/>
      <c r="F59" s="2"/>
      <c r="J59" s="2">
        <v>3</v>
      </c>
      <c r="K59" s="2">
        <v>3</v>
      </c>
      <c r="L59" s="17">
        <f t="shared" si="1"/>
        <v>4.2783799201369085E-2</v>
      </c>
      <c r="M59" s="2">
        <f t="shared" si="3"/>
        <v>4</v>
      </c>
      <c r="N59" s="17">
        <f t="shared" si="2"/>
        <v>0.14814814814814814</v>
      </c>
      <c r="O59" s="6">
        <v>1</v>
      </c>
      <c r="Q59" s="6">
        <v>1</v>
      </c>
      <c r="T59" s="6">
        <v>1</v>
      </c>
      <c r="U59" s="6">
        <v>1</v>
      </c>
    </row>
    <row r="60" spans="1:21" x14ac:dyDescent="0.25">
      <c r="A60" s="6">
        <v>194</v>
      </c>
      <c r="B60" s="8" t="s">
        <v>20</v>
      </c>
      <c r="C60" s="5" t="s">
        <v>313</v>
      </c>
      <c r="D60" s="3" t="s">
        <v>312</v>
      </c>
      <c r="E60" s="3"/>
      <c r="F60" s="2"/>
      <c r="J60" s="2">
        <v>3</v>
      </c>
      <c r="K60" s="2">
        <v>11</v>
      </c>
      <c r="L60" s="17">
        <f t="shared" si="1"/>
        <v>0.15687393040501998</v>
      </c>
      <c r="M60" s="2">
        <f t="shared" si="3"/>
        <v>4</v>
      </c>
      <c r="N60" s="17">
        <f t="shared" si="2"/>
        <v>0.14814814814814814</v>
      </c>
      <c r="R60" s="6">
        <v>2</v>
      </c>
      <c r="S60" s="6">
        <v>1</v>
      </c>
      <c r="U60" s="6">
        <v>1</v>
      </c>
    </row>
    <row r="61" spans="1:21" x14ac:dyDescent="0.25">
      <c r="A61" s="6">
        <v>108</v>
      </c>
      <c r="B61" s="8" t="s">
        <v>20</v>
      </c>
      <c r="C61" s="5" t="s">
        <v>185</v>
      </c>
      <c r="D61" s="3" t="s">
        <v>184</v>
      </c>
      <c r="E61" s="3"/>
      <c r="F61" s="2"/>
      <c r="G61" s="2"/>
      <c r="H61" s="2"/>
      <c r="I61" s="2"/>
      <c r="J61" s="2">
        <v>11</v>
      </c>
      <c r="K61" s="2">
        <v>13</v>
      </c>
      <c r="L61" s="17">
        <f t="shared" si="1"/>
        <v>0.18539646320593267</v>
      </c>
      <c r="M61" s="2">
        <f t="shared" si="3"/>
        <v>4</v>
      </c>
      <c r="N61" s="17">
        <f t="shared" si="2"/>
        <v>0.14814814814814814</v>
      </c>
      <c r="R61" s="6">
        <v>2</v>
      </c>
      <c r="S61" s="6">
        <v>1</v>
      </c>
      <c r="U61" s="6">
        <v>1</v>
      </c>
    </row>
    <row r="62" spans="1:21" x14ac:dyDescent="0.25">
      <c r="A62" s="6">
        <v>131</v>
      </c>
      <c r="B62" s="8" t="s">
        <v>5</v>
      </c>
      <c r="C62" s="5" t="s">
        <v>227</v>
      </c>
      <c r="D62" s="3" t="s">
        <v>226</v>
      </c>
      <c r="E62" s="3"/>
      <c r="F62" s="2"/>
      <c r="G62" s="2"/>
      <c r="H62" s="2"/>
      <c r="I62" s="2"/>
      <c r="J62" s="2">
        <v>3</v>
      </c>
      <c r="K62" s="2">
        <v>4</v>
      </c>
      <c r="L62" s="17">
        <f t="shared" si="1"/>
        <v>5.7045065601825436E-2</v>
      </c>
      <c r="M62" s="2">
        <f t="shared" si="3"/>
        <v>4</v>
      </c>
      <c r="N62" s="17">
        <f t="shared" si="2"/>
        <v>0.14814814814814814</v>
      </c>
      <c r="O62" s="6">
        <v>1</v>
      </c>
      <c r="R62" s="6">
        <v>2</v>
      </c>
      <c r="T62" s="6">
        <v>1</v>
      </c>
    </row>
    <row r="63" spans="1:21" x14ac:dyDescent="0.25">
      <c r="A63" s="6">
        <v>170</v>
      </c>
      <c r="B63" s="8" t="s">
        <v>3</v>
      </c>
      <c r="C63" s="5" t="s">
        <v>6</v>
      </c>
      <c r="D63" s="3" t="s">
        <v>232</v>
      </c>
      <c r="E63" s="3"/>
      <c r="F63" s="2"/>
      <c r="J63" s="2">
        <v>2</v>
      </c>
      <c r="K63" s="2">
        <v>5</v>
      </c>
      <c r="L63" s="17">
        <f t="shared" si="1"/>
        <v>7.13063320022818E-2</v>
      </c>
      <c r="M63" s="2">
        <f t="shared" si="3"/>
        <v>4</v>
      </c>
      <c r="N63" s="17">
        <f t="shared" si="2"/>
        <v>0.14814814814814814</v>
      </c>
      <c r="P63" s="6">
        <v>1</v>
      </c>
      <c r="T63" s="6">
        <v>1</v>
      </c>
      <c r="U63" s="6">
        <v>2</v>
      </c>
    </row>
    <row r="64" spans="1:21" x14ac:dyDescent="0.25">
      <c r="B64" s="8" t="s">
        <v>30</v>
      </c>
      <c r="C64" s="5" t="s">
        <v>496</v>
      </c>
      <c r="D64" s="3" t="s">
        <v>495</v>
      </c>
      <c r="E64" s="3"/>
      <c r="F64" s="2"/>
      <c r="L64" s="17">
        <f t="shared" si="1"/>
        <v>0</v>
      </c>
      <c r="M64" s="2">
        <f t="shared" si="3"/>
        <v>4</v>
      </c>
      <c r="N64" s="17">
        <f t="shared" si="2"/>
        <v>0.14814814814814814</v>
      </c>
      <c r="T64" s="6">
        <v>4</v>
      </c>
    </row>
    <row r="65" spans="1:21" x14ac:dyDescent="0.25">
      <c r="A65" s="6">
        <v>39</v>
      </c>
      <c r="B65" s="8" t="s">
        <v>5</v>
      </c>
      <c r="C65" s="5" t="s">
        <v>27</v>
      </c>
      <c r="D65" s="3" t="s">
        <v>73</v>
      </c>
      <c r="E65" s="3"/>
      <c r="F65" s="2">
        <v>11</v>
      </c>
      <c r="G65" s="2">
        <v>9</v>
      </c>
      <c r="H65" s="2">
        <v>10</v>
      </c>
      <c r="I65" s="2">
        <v>3</v>
      </c>
      <c r="J65" s="2">
        <v>11</v>
      </c>
      <c r="K65" s="2">
        <v>11</v>
      </c>
      <c r="L65" s="17">
        <f t="shared" si="1"/>
        <v>0.15687393040501998</v>
      </c>
      <c r="M65" s="2">
        <f t="shared" si="3"/>
        <v>3</v>
      </c>
      <c r="N65" s="17">
        <f t="shared" si="2"/>
        <v>0.1111111111111111</v>
      </c>
      <c r="O65" s="6">
        <v>2</v>
      </c>
      <c r="P65" s="6">
        <v>1</v>
      </c>
    </row>
    <row r="66" spans="1:21" x14ac:dyDescent="0.25">
      <c r="A66" s="6">
        <v>50</v>
      </c>
      <c r="B66" s="1" t="s">
        <v>7</v>
      </c>
      <c r="C66" s="5" t="s">
        <v>8</v>
      </c>
      <c r="D66" s="3" t="s">
        <v>124</v>
      </c>
      <c r="E66" s="3"/>
      <c r="F66" s="2">
        <v>3</v>
      </c>
      <c r="G66" s="2">
        <v>14</v>
      </c>
      <c r="H66" s="2">
        <v>4</v>
      </c>
      <c r="I66" s="2">
        <v>2</v>
      </c>
      <c r="J66" s="2">
        <v>11</v>
      </c>
      <c r="K66" s="2">
        <v>4</v>
      </c>
      <c r="L66" s="17">
        <f t="shared" si="1"/>
        <v>5.7045065601825436E-2</v>
      </c>
      <c r="M66" s="2">
        <f t="shared" ref="M66:M97" si="4">SUM(O66:AP66)</f>
        <v>3</v>
      </c>
      <c r="N66" s="17">
        <f t="shared" si="2"/>
        <v>0.1111111111111111</v>
      </c>
      <c r="Q66" s="6">
        <v>1</v>
      </c>
      <c r="S66" s="6">
        <v>2</v>
      </c>
    </row>
    <row r="67" spans="1:21" x14ac:dyDescent="0.25">
      <c r="A67" s="6">
        <v>51</v>
      </c>
      <c r="B67" s="8" t="s">
        <v>32</v>
      </c>
      <c r="C67" s="5" t="s">
        <v>45</v>
      </c>
      <c r="D67" s="3" t="s">
        <v>71</v>
      </c>
      <c r="E67" s="3"/>
      <c r="F67" s="2">
        <v>12</v>
      </c>
      <c r="G67" s="2">
        <v>21</v>
      </c>
      <c r="H67" s="2">
        <v>13</v>
      </c>
      <c r="I67" s="2">
        <v>1</v>
      </c>
      <c r="J67" s="2">
        <v>9</v>
      </c>
      <c r="K67" s="2">
        <v>17</v>
      </c>
      <c r="L67" s="17">
        <f t="shared" ref="L67:L130" si="5">K67/7012*100</f>
        <v>0.24244152880775813</v>
      </c>
      <c r="M67" s="2">
        <f t="shared" si="4"/>
        <v>3</v>
      </c>
      <c r="N67" s="17">
        <f t="shared" ref="N67:N130" si="6">M67/2700*100</f>
        <v>0.1111111111111111</v>
      </c>
      <c r="R67" s="6">
        <v>1</v>
      </c>
      <c r="S67" s="6">
        <v>1</v>
      </c>
      <c r="T67" s="6">
        <v>1</v>
      </c>
    </row>
    <row r="68" spans="1:21" x14ac:dyDescent="0.25">
      <c r="A68" s="6">
        <v>63</v>
      </c>
      <c r="B68" s="8" t="s">
        <v>7</v>
      </c>
      <c r="C68" s="5" t="s">
        <v>15</v>
      </c>
      <c r="D68" s="3" t="s">
        <v>75</v>
      </c>
      <c r="E68" s="3"/>
      <c r="F68" s="2">
        <v>9</v>
      </c>
      <c r="G68" s="2">
        <v>16</v>
      </c>
      <c r="H68" s="2">
        <v>32</v>
      </c>
      <c r="I68" s="2">
        <v>0</v>
      </c>
      <c r="J68" s="2">
        <v>6</v>
      </c>
      <c r="K68" s="2">
        <v>22</v>
      </c>
      <c r="L68" s="17">
        <f t="shared" si="5"/>
        <v>0.31374786081003997</v>
      </c>
      <c r="M68" s="2">
        <f t="shared" si="4"/>
        <v>3</v>
      </c>
      <c r="N68" s="17">
        <f t="shared" si="6"/>
        <v>0.1111111111111111</v>
      </c>
      <c r="P68" s="6">
        <v>2</v>
      </c>
      <c r="S68" s="6">
        <v>1</v>
      </c>
    </row>
    <row r="69" spans="1:21" x14ac:dyDescent="0.25">
      <c r="A69" s="6">
        <v>77</v>
      </c>
      <c r="B69" s="1" t="s">
        <v>1</v>
      </c>
      <c r="C69" s="7" t="s">
        <v>6</v>
      </c>
      <c r="D69" s="3" t="s">
        <v>139</v>
      </c>
      <c r="E69" s="3"/>
      <c r="J69" s="2">
        <v>6</v>
      </c>
      <c r="K69" s="2">
        <v>5</v>
      </c>
      <c r="L69" s="17">
        <f t="shared" si="5"/>
        <v>7.13063320022818E-2</v>
      </c>
      <c r="M69" s="2">
        <f t="shared" si="4"/>
        <v>3</v>
      </c>
      <c r="N69" s="17">
        <f t="shared" si="6"/>
        <v>0.1111111111111111</v>
      </c>
      <c r="O69" s="6">
        <v>2</v>
      </c>
      <c r="T69" s="6">
        <v>1</v>
      </c>
    </row>
    <row r="70" spans="1:21" x14ac:dyDescent="0.25">
      <c r="A70" s="6">
        <v>85</v>
      </c>
      <c r="B70" s="1" t="s">
        <v>1</v>
      </c>
      <c r="C70" s="5" t="s">
        <v>11</v>
      </c>
      <c r="D70" s="3" t="s">
        <v>152</v>
      </c>
      <c r="E70" s="3"/>
      <c r="F70" s="2"/>
      <c r="G70" s="2"/>
      <c r="H70" s="2"/>
      <c r="I70" s="2"/>
      <c r="J70" s="2">
        <v>14</v>
      </c>
      <c r="K70" s="2">
        <v>16</v>
      </c>
      <c r="L70" s="17">
        <f t="shared" si="5"/>
        <v>0.22818026240730174</v>
      </c>
      <c r="M70" s="2">
        <f t="shared" si="4"/>
        <v>3</v>
      </c>
      <c r="N70" s="17">
        <f t="shared" si="6"/>
        <v>0.1111111111111111</v>
      </c>
      <c r="O70" s="6">
        <v>1</v>
      </c>
      <c r="P70" s="6">
        <v>1</v>
      </c>
      <c r="R70" s="6">
        <v>1</v>
      </c>
    </row>
    <row r="71" spans="1:21" x14ac:dyDescent="0.25">
      <c r="A71" s="6">
        <v>91</v>
      </c>
      <c r="B71" s="8" t="s">
        <v>7</v>
      </c>
      <c r="C71" s="5" t="s">
        <v>160</v>
      </c>
      <c r="D71" s="3" t="s">
        <v>161</v>
      </c>
      <c r="E71" s="3"/>
      <c r="F71" s="2"/>
      <c r="G71" s="2"/>
      <c r="H71" s="2"/>
      <c r="I71" s="2"/>
      <c r="J71" s="2">
        <v>4</v>
      </c>
      <c r="K71" s="2">
        <v>3</v>
      </c>
      <c r="L71" s="17">
        <f t="shared" si="5"/>
        <v>4.2783799201369085E-2</v>
      </c>
      <c r="M71" s="2">
        <f t="shared" si="4"/>
        <v>3</v>
      </c>
      <c r="N71" s="17">
        <f t="shared" si="6"/>
        <v>0.1111111111111111</v>
      </c>
      <c r="P71" s="6">
        <v>1</v>
      </c>
      <c r="U71" s="6">
        <v>2</v>
      </c>
    </row>
    <row r="72" spans="1:21" x14ac:dyDescent="0.25">
      <c r="A72" s="6">
        <v>205</v>
      </c>
      <c r="B72" s="8" t="s">
        <v>20</v>
      </c>
      <c r="C72" s="5" t="s">
        <v>330</v>
      </c>
      <c r="D72" s="3" t="s">
        <v>329</v>
      </c>
      <c r="E72" s="3"/>
      <c r="F72" s="2"/>
      <c r="J72" s="2">
        <v>3</v>
      </c>
      <c r="K72" s="2">
        <v>11</v>
      </c>
      <c r="L72" s="17">
        <f t="shared" si="5"/>
        <v>0.15687393040501998</v>
      </c>
      <c r="M72" s="2">
        <f t="shared" si="4"/>
        <v>3</v>
      </c>
      <c r="N72" s="17">
        <f t="shared" si="6"/>
        <v>0.1111111111111111</v>
      </c>
      <c r="R72" s="6">
        <v>2</v>
      </c>
      <c r="S72" s="6">
        <v>1</v>
      </c>
    </row>
    <row r="73" spans="1:21" x14ac:dyDescent="0.25">
      <c r="A73" s="6">
        <v>115</v>
      </c>
      <c r="B73" s="1" t="s">
        <v>1</v>
      </c>
      <c r="C73" s="5" t="s">
        <v>11</v>
      </c>
      <c r="D73" s="3" t="s">
        <v>197</v>
      </c>
      <c r="E73" s="3"/>
      <c r="F73" s="2"/>
      <c r="G73" s="2"/>
      <c r="H73" s="2"/>
      <c r="I73" s="2"/>
      <c r="J73" s="2">
        <v>8</v>
      </c>
      <c r="K73" s="2">
        <v>15</v>
      </c>
      <c r="L73" s="17">
        <f t="shared" si="5"/>
        <v>0.21391899600684541</v>
      </c>
      <c r="M73" s="2">
        <f t="shared" si="4"/>
        <v>3</v>
      </c>
      <c r="N73" s="17">
        <f t="shared" si="6"/>
        <v>0.1111111111111111</v>
      </c>
      <c r="O73" s="6">
        <v>1</v>
      </c>
      <c r="P73" s="6">
        <v>1</v>
      </c>
      <c r="R73" s="6">
        <v>1</v>
      </c>
    </row>
    <row r="74" spans="1:21" x14ac:dyDescent="0.25">
      <c r="A74" s="6">
        <v>252</v>
      </c>
      <c r="B74" s="8" t="s">
        <v>20</v>
      </c>
      <c r="C74" s="5" t="s">
        <v>257</v>
      </c>
      <c r="D74" s="3" t="s">
        <v>406</v>
      </c>
      <c r="E74" s="3"/>
      <c r="F74" s="2"/>
      <c r="K74" s="2">
        <v>11</v>
      </c>
      <c r="L74" s="17">
        <f t="shared" si="5"/>
        <v>0.15687393040501998</v>
      </c>
      <c r="M74" s="2">
        <f t="shared" si="4"/>
        <v>3</v>
      </c>
      <c r="N74" s="17">
        <f t="shared" si="6"/>
        <v>0.1111111111111111</v>
      </c>
      <c r="R74" s="6">
        <v>2</v>
      </c>
      <c r="S74" s="6">
        <v>1</v>
      </c>
    </row>
    <row r="75" spans="1:21" x14ac:dyDescent="0.25">
      <c r="A75" s="6">
        <v>139</v>
      </c>
      <c r="B75" s="8" t="s">
        <v>20</v>
      </c>
      <c r="C75" s="5" t="s">
        <v>240</v>
      </c>
      <c r="D75" s="3" t="s">
        <v>241</v>
      </c>
      <c r="E75" s="3"/>
      <c r="F75" s="2"/>
      <c r="J75" s="2">
        <v>9</v>
      </c>
      <c r="K75" s="2">
        <v>14</v>
      </c>
      <c r="L75" s="17">
        <f t="shared" si="5"/>
        <v>0.19965772960638906</v>
      </c>
      <c r="M75" s="2">
        <f t="shared" si="4"/>
        <v>3</v>
      </c>
      <c r="N75" s="17">
        <f t="shared" si="6"/>
        <v>0.1111111111111111</v>
      </c>
      <c r="R75" s="6">
        <v>2</v>
      </c>
      <c r="S75" s="6">
        <v>1</v>
      </c>
    </row>
    <row r="76" spans="1:21" x14ac:dyDescent="0.25">
      <c r="A76" s="6">
        <v>52</v>
      </c>
      <c r="B76" s="8" t="s">
        <v>3</v>
      </c>
      <c r="C76" s="5" t="s">
        <v>4</v>
      </c>
      <c r="D76" s="3" t="s">
        <v>83</v>
      </c>
      <c r="E76" s="3"/>
      <c r="F76" s="2">
        <v>9</v>
      </c>
      <c r="G76" s="2">
        <v>13</v>
      </c>
      <c r="H76" s="2">
        <v>12</v>
      </c>
      <c r="I76" s="2">
        <v>1</v>
      </c>
      <c r="J76" s="2">
        <v>16</v>
      </c>
      <c r="K76" s="2">
        <v>10</v>
      </c>
      <c r="L76" s="17">
        <f t="shared" si="5"/>
        <v>0.1426126640045636</v>
      </c>
      <c r="M76" s="2">
        <f t="shared" si="4"/>
        <v>3</v>
      </c>
      <c r="N76" s="17">
        <f t="shared" si="6"/>
        <v>0.1111111111111111</v>
      </c>
      <c r="P76" s="6">
        <v>1</v>
      </c>
      <c r="T76" s="6">
        <v>2</v>
      </c>
    </row>
    <row r="77" spans="1:21" x14ac:dyDescent="0.25">
      <c r="A77" s="6">
        <v>183</v>
      </c>
      <c r="B77" s="8" t="s">
        <v>43</v>
      </c>
      <c r="C77" s="5" t="s">
        <v>6</v>
      </c>
      <c r="D77" s="3" t="s">
        <v>296</v>
      </c>
      <c r="E77" s="3"/>
      <c r="F77" s="2"/>
      <c r="J77" s="2">
        <v>3</v>
      </c>
      <c r="K77" s="2">
        <v>7</v>
      </c>
      <c r="L77" s="17">
        <f t="shared" si="5"/>
        <v>9.9828864803194528E-2</v>
      </c>
      <c r="M77" s="2">
        <f t="shared" si="4"/>
        <v>3</v>
      </c>
      <c r="N77" s="17">
        <f t="shared" si="6"/>
        <v>0.1111111111111111</v>
      </c>
      <c r="S77" s="6">
        <v>1</v>
      </c>
      <c r="T77" s="6">
        <v>1</v>
      </c>
      <c r="U77" s="6">
        <v>1</v>
      </c>
    </row>
    <row r="78" spans="1:21" x14ac:dyDescent="0.25">
      <c r="A78" s="6">
        <v>179</v>
      </c>
      <c r="B78" s="8" t="s">
        <v>3</v>
      </c>
      <c r="C78" s="5" t="s">
        <v>25</v>
      </c>
      <c r="D78" s="3" t="s">
        <v>179</v>
      </c>
      <c r="E78" s="3"/>
      <c r="F78" s="2"/>
      <c r="J78" s="2">
        <v>4</v>
      </c>
      <c r="K78" s="2">
        <v>7</v>
      </c>
      <c r="L78" s="17">
        <f t="shared" si="5"/>
        <v>9.9828864803194528E-2</v>
      </c>
      <c r="M78" s="2">
        <f t="shared" si="4"/>
        <v>3</v>
      </c>
      <c r="N78" s="17">
        <f t="shared" si="6"/>
        <v>0.1111111111111111</v>
      </c>
      <c r="Q78" s="6">
        <v>1</v>
      </c>
      <c r="T78" s="6">
        <v>2</v>
      </c>
    </row>
    <row r="79" spans="1:21" x14ac:dyDescent="0.25">
      <c r="A79" s="6">
        <v>241</v>
      </c>
      <c r="B79" s="8" t="s">
        <v>3</v>
      </c>
      <c r="C79" s="5" t="s">
        <v>388</v>
      </c>
      <c r="D79" s="3" t="s">
        <v>389</v>
      </c>
      <c r="E79" s="3"/>
      <c r="F79" s="2"/>
      <c r="J79" s="2">
        <v>1</v>
      </c>
      <c r="K79" s="2">
        <v>7</v>
      </c>
      <c r="L79" s="17">
        <f t="shared" si="5"/>
        <v>9.9828864803194528E-2</v>
      </c>
      <c r="M79" s="2">
        <f t="shared" si="4"/>
        <v>3</v>
      </c>
      <c r="N79" s="17">
        <f t="shared" si="6"/>
        <v>0.1111111111111111</v>
      </c>
      <c r="T79" s="6">
        <v>3</v>
      </c>
    </row>
    <row r="80" spans="1:21" x14ac:dyDescent="0.25">
      <c r="A80" s="6">
        <v>247</v>
      </c>
      <c r="B80" s="8" t="s">
        <v>30</v>
      </c>
      <c r="C80" s="5" t="s">
        <v>6</v>
      </c>
      <c r="D80" s="3" t="s">
        <v>61</v>
      </c>
      <c r="E80" s="3"/>
      <c r="F80" s="2"/>
      <c r="J80" s="2">
        <v>1</v>
      </c>
      <c r="K80" s="2">
        <v>6</v>
      </c>
      <c r="L80" s="17">
        <f t="shared" si="5"/>
        <v>8.5567598402738171E-2</v>
      </c>
      <c r="M80" s="2">
        <f t="shared" si="4"/>
        <v>3</v>
      </c>
      <c r="N80" s="17">
        <f t="shared" si="6"/>
        <v>0.1111111111111111</v>
      </c>
      <c r="R80" s="6">
        <v>2</v>
      </c>
      <c r="U80" s="6">
        <v>1</v>
      </c>
    </row>
    <row r="81" spans="1:21" x14ac:dyDescent="0.25">
      <c r="A81" s="6">
        <v>250</v>
      </c>
      <c r="B81" s="8" t="s">
        <v>12</v>
      </c>
      <c r="C81" s="5" t="s">
        <v>404</v>
      </c>
      <c r="D81" s="3" t="s">
        <v>403</v>
      </c>
      <c r="E81" s="3"/>
      <c r="F81" s="2"/>
      <c r="K81" s="2">
        <v>3</v>
      </c>
      <c r="L81" s="17">
        <f t="shared" si="5"/>
        <v>4.2783799201369085E-2</v>
      </c>
      <c r="M81" s="2">
        <f t="shared" si="4"/>
        <v>3</v>
      </c>
      <c r="N81" s="17">
        <f t="shared" si="6"/>
        <v>0.1111111111111111</v>
      </c>
      <c r="O81" s="6">
        <v>1</v>
      </c>
      <c r="P81" s="6">
        <v>1</v>
      </c>
      <c r="Q81" s="6">
        <v>1</v>
      </c>
    </row>
    <row r="82" spans="1:21" x14ac:dyDescent="0.25">
      <c r="A82" s="6">
        <v>253</v>
      </c>
      <c r="B82" s="8" t="s">
        <v>20</v>
      </c>
      <c r="C82" s="5" t="s">
        <v>258</v>
      </c>
      <c r="D82" s="3" t="s">
        <v>407</v>
      </c>
      <c r="E82" s="3"/>
      <c r="K82" s="2">
        <v>12</v>
      </c>
      <c r="L82" s="17">
        <f t="shared" si="5"/>
        <v>0.17113519680547634</v>
      </c>
      <c r="M82" s="2">
        <f t="shared" si="4"/>
        <v>3</v>
      </c>
      <c r="N82" s="17">
        <f t="shared" si="6"/>
        <v>0.1111111111111111</v>
      </c>
      <c r="R82" s="6">
        <v>2</v>
      </c>
      <c r="S82" s="6">
        <v>1</v>
      </c>
    </row>
    <row r="83" spans="1:21" x14ac:dyDescent="0.25">
      <c r="A83" s="6">
        <v>244</v>
      </c>
      <c r="B83" s="8" t="s">
        <v>3</v>
      </c>
      <c r="C83" s="5" t="s">
        <v>392</v>
      </c>
      <c r="D83" s="3" t="s">
        <v>393</v>
      </c>
      <c r="E83" s="3"/>
      <c r="J83" s="2">
        <v>1</v>
      </c>
      <c r="K83" s="2">
        <v>3</v>
      </c>
      <c r="L83" s="17">
        <f t="shared" si="5"/>
        <v>4.2783799201369085E-2</v>
      </c>
      <c r="M83" s="2">
        <f t="shared" si="4"/>
        <v>3</v>
      </c>
      <c r="N83" s="17">
        <f t="shared" si="6"/>
        <v>0.1111111111111111</v>
      </c>
      <c r="Q83" s="6">
        <v>1</v>
      </c>
      <c r="R83" s="6">
        <v>1</v>
      </c>
      <c r="T83" s="6">
        <v>1</v>
      </c>
    </row>
    <row r="84" spans="1:21" x14ac:dyDescent="0.25">
      <c r="A84" s="6">
        <v>109</v>
      </c>
      <c r="B84" s="8" t="s">
        <v>20</v>
      </c>
      <c r="C84" s="5" t="s">
        <v>186</v>
      </c>
      <c r="D84" s="3" t="s">
        <v>187</v>
      </c>
      <c r="E84" s="3"/>
      <c r="F84" s="2"/>
      <c r="G84" s="2"/>
      <c r="H84" s="2"/>
      <c r="I84" s="2"/>
      <c r="J84" s="2">
        <v>6</v>
      </c>
      <c r="K84" s="2">
        <v>11</v>
      </c>
      <c r="L84" s="17">
        <f t="shared" si="5"/>
        <v>0.15687393040501998</v>
      </c>
      <c r="M84" s="2">
        <f t="shared" si="4"/>
        <v>3</v>
      </c>
      <c r="N84" s="17">
        <f t="shared" si="6"/>
        <v>0.1111111111111111</v>
      </c>
      <c r="R84" s="6">
        <v>1</v>
      </c>
      <c r="S84" s="6">
        <v>1</v>
      </c>
      <c r="U84" s="6">
        <v>1</v>
      </c>
    </row>
    <row r="85" spans="1:21" x14ac:dyDescent="0.25">
      <c r="A85" s="6">
        <v>4</v>
      </c>
      <c r="B85" s="8" t="s">
        <v>12</v>
      </c>
      <c r="C85" s="2" t="s">
        <v>56</v>
      </c>
      <c r="D85" s="3" t="s">
        <v>156</v>
      </c>
      <c r="E85" s="3"/>
      <c r="F85" s="2">
        <v>1</v>
      </c>
      <c r="G85" s="2">
        <v>1</v>
      </c>
      <c r="H85" s="2">
        <v>25</v>
      </c>
      <c r="I85" s="2">
        <v>16</v>
      </c>
      <c r="J85" s="2">
        <v>15</v>
      </c>
      <c r="K85" s="2">
        <v>7</v>
      </c>
      <c r="L85" s="17">
        <f t="shared" si="5"/>
        <v>9.9828864803194528E-2</v>
      </c>
      <c r="M85" s="2">
        <f t="shared" si="4"/>
        <v>2</v>
      </c>
      <c r="N85" s="17">
        <f t="shared" si="6"/>
        <v>7.407407407407407E-2</v>
      </c>
      <c r="T85" s="6">
        <v>2</v>
      </c>
    </row>
    <row r="86" spans="1:21" x14ac:dyDescent="0.25">
      <c r="A86" s="6">
        <v>145</v>
      </c>
      <c r="B86" s="8" t="s">
        <v>5</v>
      </c>
      <c r="C86" s="5" t="s">
        <v>249</v>
      </c>
      <c r="D86" s="3" t="s">
        <v>248</v>
      </c>
      <c r="E86" s="3"/>
      <c r="F86" s="2"/>
      <c r="J86" s="2">
        <v>3</v>
      </c>
      <c r="K86" s="2">
        <v>3</v>
      </c>
      <c r="L86" s="17">
        <f t="shared" si="5"/>
        <v>4.2783799201369085E-2</v>
      </c>
      <c r="M86" s="2">
        <f t="shared" si="4"/>
        <v>2</v>
      </c>
      <c r="N86" s="17">
        <f t="shared" si="6"/>
        <v>7.407407407407407E-2</v>
      </c>
      <c r="O86" s="6">
        <v>2</v>
      </c>
    </row>
    <row r="87" spans="1:21" x14ac:dyDescent="0.25">
      <c r="A87" s="6">
        <v>129</v>
      </c>
      <c r="B87" s="8" t="s">
        <v>5</v>
      </c>
      <c r="C87" s="5" t="s">
        <v>222</v>
      </c>
      <c r="D87" s="3" t="s">
        <v>221</v>
      </c>
      <c r="E87" s="3"/>
      <c r="F87" s="2"/>
      <c r="G87" s="2"/>
      <c r="H87" s="2"/>
      <c r="I87" s="2"/>
      <c r="J87" s="2">
        <v>3</v>
      </c>
      <c r="K87" s="2">
        <v>3</v>
      </c>
      <c r="L87" s="17">
        <f t="shared" si="5"/>
        <v>4.2783799201369085E-2</v>
      </c>
      <c r="M87" s="2">
        <f t="shared" si="4"/>
        <v>2</v>
      </c>
      <c r="N87" s="17">
        <f t="shared" si="6"/>
        <v>7.407407407407407E-2</v>
      </c>
      <c r="O87" s="6">
        <v>1</v>
      </c>
      <c r="Q87" s="6">
        <v>1</v>
      </c>
    </row>
    <row r="88" spans="1:21" x14ac:dyDescent="0.25">
      <c r="A88" s="6">
        <v>31</v>
      </c>
      <c r="B88" s="1" t="s">
        <v>3</v>
      </c>
      <c r="C88" s="5" t="s">
        <v>6</v>
      </c>
      <c r="D88" s="3" t="s">
        <v>122</v>
      </c>
      <c r="E88" s="3"/>
      <c r="F88" s="2">
        <v>6</v>
      </c>
      <c r="G88" s="2">
        <v>7</v>
      </c>
      <c r="H88" s="2">
        <v>20</v>
      </c>
      <c r="I88" s="2">
        <v>4</v>
      </c>
      <c r="J88" s="2">
        <v>8</v>
      </c>
      <c r="K88" s="2">
        <v>6</v>
      </c>
      <c r="L88" s="17">
        <f t="shared" si="5"/>
        <v>8.5567598402738171E-2</v>
      </c>
      <c r="M88" s="2">
        <f t="shared" si="4"/>
        <v>2</v>
      </c>
      <c r="N88" s="17">
        <f t="shared" si="6"/>
        <v>7.407407407407407E-2</v>
      </c>
      <c r="R88" s="6">
        <v>1</v>
      </c>
      <c r="U88" s="6">
        <v>1</v>
      </c>
    </row>
    <row r="89" spans="1:21" x14ac:dyDescent="0.25">
      <c r="A89" s="6">
        <v>133</v>
      </c>
      <c r="B89" s="8" t="s">
        <v>5</v>
      </c>
      <c r="C89" s="5" t="s">
        <v>6</v>
      </c>
      <c r="D89" s="3" t="s">
        <v>202</v>
      </c>
      <c r="E89" s="3"/>
      <c r="F89" s="2"/>
      <c r="G89" s="2"/>
      <c r="H89" s="2"/>
      <c r="I89" s="2"/>
      <c r="J89" s="2">
        <v>2</v>
      </c>
      <c r="K89" s="2">
        <v>2</v>
      </c>
      <c r="L89" s="17">
        <f t="shared" si="5"/>
        <v>2.8522532800912718E-2</v>
      </c>
      <c r="M89" s="2">
        <f t="shared" si="4"/>
        <v>2</v>
      </c>
      <c r="N89" s="17">
        <f t="shared" si="6"/>
        <v>7.407407407407407E-2</v>
      </c>
      <c r="T89" s="6">
        <v>1</v>
      </c>
      <c r="U89" s="6">
        <v>1</v>
      </c>
    </row>
    <row r="90" spans="1:21" x14ac:dyDescent="0.25">
      <c r="A90" s="6">
        <v>42</v>
      </c>
      <c r="B90" s="8" t="s">
        <v>80</v>
      </c>
      <c r="C90" s="5" t="s">
        <v>6</v>
      </c>
      <c r="D90" s="3" t="s">
        <v>97</v>
      </c>
      <c r="E90" s="3"/>
      <c r="F90" s="2">
        <v>1</v>
      </c>
      <c r="G90" s="2">
        <v>18</v>
      </c>
      <c r="H90" s="2">
        <v>6</v>
      </c>
      <c r="I90" s="2">
        <v>2</v>
      </c>
      <c r="J90" s="2">
        <v>3</v>
      </c>
      <c r="K90" s="2">
        <v>5</v>
      </c>
      <c r="L90" s="17">
        <f t="shared" si="5"/>
        <v>7.13063320022818E-2</v>
      </c>
      <c r="M90" s="2">
        <f t="shared" si="4"/>
        <v>2</v>
      </c>
      <c r="N90" s="17">
        <f t="shared" si="6"/>
        <v>7.407407407407407E-2</v>
      </c>
      <c r="O90" s="6">
        <v>1</v>
      </c>
      <c r="U90" s="6">
        <v>1</v>
      </c>
    </row>
    <row r="91" spans="1:21" x14ac:dyDescent="0.25">
      <c r="A91" s="6">
        <v>48</v>
      </c>
      <c r="B91" s="8" t="s">
        <v>30</v>
      </c>
      <c r="C91" s="5" t="s">
        <v>57</v>
      </c>
      <c r="D91" s="3" t="s">
        <v>116</v>
      </c>
      <c r="E91" s="3"/>
      <c r="F91" s="2">
        <v>1</v>
      </c>
      <c r="G91" s="2">
        <v>5</v>
      </c>
      <c r="H91" s="2">
        <v>21</v>
      </c>
      <c r="I91" s="2">
        <v>2</v>
      </c>
      <c r="J91" s="2">
        <v>15</v>
      </c>
      <c r="K91" s="2">
        <v>22</v>
      </c>
      <c r="L91" s="17">
        <f t="shared" si="5"/>
        <v>0.31374786081003997</v>
      </c>
      <c r="M91" s="2">
        <f t="shared" si="4"/>
        <v>2</v>
      </c>
      <c r="N91" s="17">
        <f t="shared" si="6"/>
        <v>7.407407407407407E-2</v>
      </c>
      <c r="O91" s="6">
        <v>1</v>
      </c>
      <c r="T91" s="6">
        <v>1</v>
      </c>
    </row>
    <row r="92" spans="1:21" x14ac:dyDescent="0.25">
      <c r="A92" s="6">
        <v>65</v>
      </c>
      <c r="B92" s="3" t="s">
        <v>32</v>
      </c>
      <c r="C92" s="5" t="s">
        <v>6</v>
      </c>
      <c r="D92" s="3" t="s">
        <v>17</v>
      </c>
      <c r="E92" s="3"/>
      <c r="F92" s="2">
        <v>5</v>
      </c>
      <c r="G92" s="2">
        <v>1</v>
      </c>
      <c r="H92" s="2">
        <v>8</v>
      </c>
      <c r="I92" s="2">
        <v>0</v>
      </c>
      <c r="J92" s="2">
        <v>6</v>
      </c>
      <c r="K92" s="2">
        <v>6</v>
      </c>
      <c r="L92" s="17">
        <f t="shared" si="5"/>
        <v>8.5567598402738171E-2</v>
      </c>
      <c r="M92" s="2">
        <f t="shared" si="4"/>
        <v>2</v>
      </c>
      <c r="N92" s="17">
        <f t="shared" si="6"/>
        <v>7.407407407407407E-2</v>
      </c>
      <c r="Q92" s="6">
        <v>1</v>
      </c>
      <c r="T92" s="6">
        <v>1</v>
      </c>
    </row>
    <row r="93" spans="1:21" x14ac:dyDescent="0.25">
      <c r="A93" s="6">
        <v>69</v>
      </c>
      <c r="B93" s="1" t="s">
        <v>1</v>
      </c>
      <c r="C93" s="5" t="s">
        <v>37</v>
      </c>
      <c r="D93" s="3" t="s">
        <v>77</v>
      </c>
      <c r="E93" s="3"/>
      <c r="F93" s="2"/>
      <c r="G93" s="2"/>
      <c r="H93" s="2"/>
      <c r="I93" s="2"/>
      <c r="J93" s="2">
        <v>8</v>
      </c>
      <c r="K93" s="2">
        <v>6</v>
      </c>
      <c r="L93" s="17">
        <f t="shared" si="5"/>
        <v>8.5567598402738171E-2</v>
      </c>
      <c r="M93" s="2">
        <f t="shared" si="4"/>
        <v>2</v>
      </c>
      <c r="N93" s="17">
        <f t="shared" si="6"/>
        <v>7.407407407407407E-2</v>
      </c>
      <c r="S93" s="6">
        <v>1</v>
      </c>
      <c r="T93" s="6">
        <v>1</v>
      </c>
    </row>
    <row r="94" spans="1:21" x14ac:dyDescent="0.25">
      <c r="A94" s="6">
        <v>75</v>
      </c>
      <c r="B94" s="8" t="s">
        <v>137</v>
      </c>
      <c r="C94" s="5" t="s">
        <v>374</v>
      </c>
      <c r="D94" s="3" t="s">
        <v>138</v>
      </c>
      <c r="E94" s="3"/>
      <c r="F94" s="2"/>
      <c r="G94" s="2"/>
      <c r="H94" s="2"/>
      <c r="I94" s="2"/>
      <c r="J94" s="2">
        <v>7</v>
      </c>
      <c r="K94" s="2">
        <v>11</v>
      </c>
      <c r="L94" s="17">
        <f t="shared" si="5"/>
        <v>0.15687393040501998</v>
      </c>
      <c r="M94" s="2">
        <f t="shared" si="4"/>
        <v>2</v>
      </c>
      <c r="N94" s="17">
        <f t="shared" si="6"/>
        <v>7.407407407407407E-2</v>
      </c>
      <c r="T94" s="6">
        <v>1</v>
      </c>
      <c r="U94" s="6">
        <v>1</v>
      </c>
    </row>
    <row r="95" spans="1:21" x14ac:dyDescent="0.25">
      <c r="A95" s="6">
        <v>86</v>
      </c>
      <c r="B95" s="1" t="s">
        <v>1</v>
      </c>
      <c r="C95" s="5" t="s">
        <v>10</v>
      </c>
      <c r="D95" s="3" t="s">
        <v>153</v>
      </c>
      <c r="E95" s="3"/>
      <c r="F95" s="2"/>
      <c r="G95" s="2"/>
      <c r="H95" s="2"/>
      <c r="I95" s="2"/>
      <c r="J95" s="2">
        <v>17</v>
      </c>
      <c r="K95" s="2">
        <v>7</v>
      </c>
      <c r="L95" s="17">
        <f t="shared" si="5"/>
        <v>9.9828864803194528E-2</v>
      </c>
      <c r="M95" s="2">
        <f t="shared" si="4"/>
        <v>2</v>
      </c>
      <c r="N95" s="17">
        <f t="shared" si="6"/>
        <v>7.407407407407407E-2</v>
      </c>
      <c r="S95" s="6">
        <v>1</v>
      </c>
      <c r="U95" s="6">
        <v>1</v>
      </c>
    </row>
    <row r="96" spans="1:21" x14ac:dyDescent="0.25">
      <c r="A96" s="6">
        <v>87</v>
      </c>
      <c r="B96" s="8" t="s">
        <v>30</v>
      </c>
      <c r="C96" s="5" t="s">
        <v>154</v>
      </c>
      <c r="D96" s="3" t="s">
        <v>155</v>
      </c>
      <c r="E96" s="3"/>
      <c r="F96" s="2">
        <v>1</v>
      </c>
      <c r="G96" s="2">
        <v>5</v>
      </c>
      <c r="H96" s="2">
        <v>21</v>
      </c>
      <c r="I96" s="2">
        <v>2</v>
      </c>
      <c r="J96" s="2">
        <v>11</v>
      </c>
      <c r="K96" s="2">
        <v>5</v>
      </c>
      <c r="L96" s="17">
        <f t="shared" si="5"/>
        <v>7.13063320022818E-2</v>
      </c>
      <c r="M96" s="2">
        <f t="shared" si="4"/>
        <v>2</v>
      </c>
      <c r="N96" s="17">
        <f t="shared" si="6"/>
        <v>7.407407407407407E-2</v>
      </c>
      <c r="U96" s="6">
        <v>2</v>
      </c>
    </row>
    <row r="97" spans="1:21" x14ac:dyDescent="0.25">
      <c r="A97" s="6">
        <v>90</v>
      </c>
      <c r="B97" s="8" t="s">
        <v>0</v>
      </c>
      <c r="C97" s="5" t="s">
        <v>159</v>
      </c>
      <c r="D97" s="3" t="s">
        <v>158</v>
      </c>
      <c r="E97" s="3"/>
      <c r="F97" s="2"/>
      <c r="G97" s="2"/>
      <c r="H97" s="2"/>
      <c r="I97" s="2"/>
      <c r="J97" s="2">
        <v>14</v>
      </c>
      <c r="K97" s="2">
        <v>16</v>
      </c>
      <c r="L97" s="17">
        <f t="shared" si="5"/>
        <v>0.22818026240730174</v>
      </c>
      <c r="M97" s="2">
        <f t="shared" si="4"/>
        <v>2</v>
      </c>
      <c r="N97" s="17">
        <f t="shared" si="6"/>
        <v>7.407407407407407E-2</v>
      </c>
      <c r="R97" s="6">
        <v>1</v>
      </c>
      <c r="T97" s="6">
        <v>1</v>
      </c>
    </row>
    <row r="98" spans="1:21" x14ac:dyDescent="0.25">
      <c r="A98" s="6">
        <v>99</v>
      </c>
      <c r="B98" s="8" t="s">
        <v>137</v>
      </c>
      <c r="C98" s="5" t="s">
        <v>26</v>
      </c>
      <c r="D98" s="3" t="s">
        <v>172</v>
      </c>
      <c r="E98" s="3"/>
      <c r="F98" s="2"/>
      <c r="G98" s="2"/>
      <c r="H98" s="2"/>
      <c r="I98" s="2"/>
      <c r="J98" s="2">
        <v>11</v>
      </c>
      <c r="K98" s="2">
        <v>14</v>
      </c>
      <c r="L98" s="17">
        <f t="shared" si="5"/>
        <v>0.19965772960638906</v>
      </c>
      <c r="M98" s="2">
        <f t="shared" ref="M98:M129" si="7">SUM(O98:AP98)</f>
        <v>2</v>
      </c>
      <c r="N98" s="17">
        <f t="shared" si="6"/>
        <v>7.407407407407407E-2</v>
      </c>
      <c r="Q98" s="6">
        <v>1</v>
      </c>
      <c r="S98" s="6">
        <v>1</v>
      </c>
    </row>
    <row r="99" spans="1:21" x14ac:dyDescent="0.25">
      <c r="A99" s="6">
        <v>103</v>
      </c>
      <c r="B99" s="3" t="s">
        <v>32</v>
      </c>
      <c r="C99" s="5" t="s">
        <v>25</v>
      </c>
      <c r="D99" s="3" t="s">
        <v>179</v>
      </c>
      <c r="E99" s="3"/>
      <c r="F99" s="2"/>
      <c r="G99" s="2"/>
      <c r="H99" s="2"/>
      <c r="I99" s="2"/>
      <c r="J99" s="2">
        <v>6</v>
      </c>
      <c r="K99" s="2">
        <v>5</v>
      </c>
      <c r="L99" s="17">
        <f t="shared" si="5"/>
        <v>7.13063320022818E-2</v>
      </c>
      <c r="M99" s="2">
        <f t="shared" si="7"/>
        <v>2</v>
      </c>
      <c r="N99" s="17">
        <f t="shared" si="6"/>
        <v>7.407407407407407E-2</v>
      </c>
      <c r="Q99" s="6">
        <v>1</v>
      </c>
      <c r="T99" s="6">
        <v>1</v>
      </c>
    </row>
    <row r="100" spans="1:21" x14ac:dyDescent="0.25">
      <c r="A100" s="6">
        <v>119</v>
      </c>
      <c r="B100" s="8" t="s">
        <v>7</v>
      </c>
      <c r="C100" s="5" t="s">
        <v>204</v>
      </c>
      <c r="D100" s="3" t="s">
        <v>203</v>
      </c>
      <c r="E100" s="3"/>
      <c r="F100" s="2"/>
      <c r="G100" s="2"/>
      <c r="H100" s="2"/>
      <c r="I100" s="2"/>
      <c r="J100" s="2">
        <v>2</v>
      </c>
      <c r="K100" s="2">
        <v>1</v>
      </c>
      <c r="L100" s="17">
        <f t="shared" si="5"/>
        <v>1.4261266400456359E-2</v>
      </c>
      <c r="M100" s="2">
        <f t="shared" si="7"/>
        <v>2</v>
      </c>
      <c r="N100" s="17">
        <f t="shared" si="6"/>
        <v>7.407407407407407E-2</v>
      </c>
      <c r="P100" s="6">
        <v>1</v>
      </c>
      <c r="R100" s="6">
        <v>1</v>
      </c>
    </row>
    <row r="101" spans="1:21" x14ac:dyDescent="0.25">
      <c r="A101" s="6">
        <v>138</v>
      </c>
      <c r="B101" s="8" t="s">
        <v>137</v>
      </c>
      <c r="C101" s="5" t="s">
        <v>6</v>
      </c>
      <c r="D101" s="3" t="s">
        <v>233</v>
      </c>
      <c r="E101" s="3"/>
      <c r="F101" s="2"/>
      <c r="G101" s="2"/>
      <c r="H101" s="2"/>
      <c r="I101" s="2"/>
      <c r="J101" s="2">
        <v>2</v>
      </c>
      <c r="K101" s="2">
        <v>0</v>
      </c>
      <c r="L101" s="17">
        <f t="shared" si="5"/>
        <v>0</v>
      </c>
      <c r="M101" s="2">
        <f t="shared" si="7"/>
        <v>2</v>
      </c>
      <c r="N101" s="17">
        <f t="shared" si="6"/>
        <v>7.407407407407407E-2</v>
      </c>
      <c r="S101" s="6">
        <v>2</v>
      </c>
    </row>
    <row r="102" spans="1:21" x14ac:dyDescent="0.25">
      <c r="A102" s="6">
        <v>151</v>
      </c>
      <c r="B102" s="1" t="s">
        <v>1</v>
      </c>
      <c r="C102" s="5" t="s">
        <v>261</v>
      </c>
      <c r="D102" s="3" t="s">
        <v>260</v>
      </c>
      <c r="E102" s="3"/>
      <c r="J102" s="2">
        <v>5</v>
      </c>
      <c r="K102" s="2">
        <v>10</v>
      </c>
      <c r="L102" s="17">
        <f t="shared" si="5"/>
        <v>0.1426126640045636</v>
      </c>
      <c r="M102" s="2">
        <f t="shared" si="7"/>
        <v>2</v>
      </c>
      <c r="N102" s="17">
        <f t="shared" si="6"/>
        <v>7.407407407407407E-2</v>
      </c>
      <c r="O102" s="6">
        <v>2</v>
      </c>
    </row>
    <row r="103" spans="1:21" x14ac:dyDescent="0.25">
      <c r="A103" s="6">
        <v>173</v>
      </c>
      <c r="B103" s="8" t="s">
        <v>7</v>
      </c>
      <c r="C103" s="5" t="s">
        <v>284</v>
      </c>
      <c r="D103" s="3" t="s">
        <v>283</v>
      </c>
      <c r="E103" s="3"/>
      <c r="F103" s="2"/>
      <c r="J103" s="2">
        <v>4</v>
      </c>
      <c r="K103" s="2">
        <v>3</v>
      </c>
      <c r="L103" s="17">
        <f t="shared" si="5"/>
        <v>4.2783799201369085E-2</v>
      </c>
      <c r="M103" s="2">
        <f t="shared" si="7"/>
        <v>2</v>
      </c>
      <c r="N103" s="17">
        <f t="shared" si="6"/>
        <v>7.407407407407407E-2</v>
      </c>
      <c r="S103" s="6">
        <v>1</v>
      </c>
      <c r="T103" s="6">
        <v>1</v>
      </c>
    </row>
    <row r="104" spans="1:21" x14ac:dyDescent="0.25">
      <c r="A104" s="6">
        <v>185</v>
      </c>
      <c r="B104" s="8" t="s">
        <v>0</v>
      </c>
      <c r="C104" s="5" t="s">
        <v>55</v>
      </c>
      <c r="D104" s="3" t="s">
        <v>298</v>
      </c>
      <c r="E104" s="3"/>
      <c r="F104" s="2"/>
      <c r="J104" s="2">
        <v>11</v>
      </c>
      <c r="K104" s="2">
        <v>18</v>
      </c>
      <c r="L104" s="17">
        <f t="shared" si="5"/>
        <v>0.25670279520821448</v>
      </c>
      <c r="M104" s="2">
        <f t="shared" si="7"/>
        <v>2</v>
      </c>
      <c r="N104" s="17">
        <f t="shared" si="6"/>
        <v>7.407407407407407E-2</v>
      </c>
      <c r="R104" s="6">
        <v>1</v>
      </c>
      <c r="T104" s="6">
        <v>1</v>
      </c>
    </row>
    <row r="105" spans="1:21" x14ac:dyDescent="0.25">
      <c r="A105" s="6">
        <v>193</v>
      </c>
      <c r="B105" s="8" t="s">
        <v>23</v>
      </c>
      <c r="C105" s="5" t="s">
        <v>311</v>
      </c>
      <c r="D105" s="3" t="s">
        <v>310</v>
      </c>
      <c r="E105" s="3"/>
      <c r="F105" s="2"/>
      <c r="J105" s="2">
        <v>6</v>
      </c>
      <c r="K105" s="2">
        <v>12</v>
      </c>
      <c r="L105" s="17">
        <f t="shared" si="5"/>
        <v>0.17113519680547634</v>
      </c>
      <c r="M105" s="2">
        <f t="shared" si="7"/>
        <v>2</v>
      </c>
      <c r="N105" s="17">
        <f t="shared" si="6"/>
        <v>7.407407407407407E-2</v>
      </c>
      <c r="O105" s="6">
        <v>1</v>
      </c>
      <c r="U105" s="6">
        <v>1</v>
      </c>
    </row>
    <row r="106" spans="1:21" x14ac:dyDescent="0.25">
      <c r="A106" s="6">
        <v>37</v>
      </c>
      <c r="B106" s="8" t="s">
        <v>5</v>
      </c>
      <c r="C106" s="5" t="s">
        <v>31</v>
      </c>
      <c r="D106" s="3" t="s">
        <v>88</v>
      </c>
      <c r="E106" s="3"/>
      <c r="F106" s="2">
        <v>3</v>
      </c>
      <c r="G106" s="2">
        <v>11</v>
      </c>
      <c r="H106" s="2">
        <v>17</v>
      </c>
      <c r="I106" s="2">
        <v>3</v>
      </c>
      <c r="J106" s="2">
        <v>14</v>
      </c>
      <c r="K106" s="2">
        <v>8</v>
      </c>
      <c r="L106" s="17">
        <f t="shared" si="5"/>
        <v>0.11409013120365087</v>
      </c>
      <c r="M106" s="2">
        <f t="shared" si="7"/>
        <v>2</v>
      </c>
      <c r="N106" s="17">
        <f t="shared" si="6"/>
        <v>7.407407407407407E-2</v>
      </c>
      <c r="O106" s="6" t="s">
        <v>484</v>
      </c>
      <c r="T106" s="6">
        <v>1</v>
      </c>
      <c r="U106" s="6">
        <v>1</v>
      </c>
    </row>
    <row r="107" spans="1:21" x14ac:dyDescent="0.25">
      <c r="A107" s="6">
        <v>204</v>
      </c>
      <c r="B107" s="8" t="s">
        <v>297</v>
      </c>
      <c r="C107" s="5" t="s">
        <v>328</v>
      </c>
      <c r="D107" s="3" t="s">
        <v>327</v>
      </c>
      <c r="E107" s="3"/>
      <c r="F107" s="2"/>
      <c r="J107" s="2">
        <v>1</v>
      </c>
      <c r="K107" s="2">
        <v>6</v>
      </c>
      <c r="L107" s="17">
        <f t="shared" si="5"/>
        <v>8.5567598402738171E-2</v>
      </c>
      <c r="M107" s="2">
        <f t="shared" si="7"/>
        <v>2</v>
      </c>
      <c r="N107" s="17">
        <f t="shared" si="6"/>
        <v>7.407407407407407E-2</v>
      </c>
      <c r="U107" s="6">
        <v>2</v>
      </c>
    </row>
    <row r="108" spans="1:21" x14ac:dyDescent="0.25">
      <c r="A108" s="6">
        <v>213</v>
      </c>
      <c r="B108" s="8" t="s">
        <v>0</v>
      </c>
      <c r="C108" s="5" t="s">
        <v>343</v>
      </c>
      <c r="D108" s="3" t="s">
        <v>342</v>
      </c>
      <c r="E108" s="3"/>
      <c r="F108" s="2"/>
      <c r="J108" s="2">
        <v>8</v>
      </c>
      <c r="K108" s="2">
        <v>12</v>
      </c>
      <c r="L108" s="17">
        <f t="shared" si="5"/>
        <v>0.17113519680547634</v>
      </c>
      <c r="M108" s="2">
        <f t="shared" si="7"/>
        <v>2</v>
      </c>
      <c r="N108" s="17">
        <f t="shared" si="6"/>
        <v>7.407407407407407E-2</v>
      </c>
      <c r="R108" s="6">
        <v>1</v>
      </c>
      <c r="T108" s="6">
        <v>1</v>
      </c>
    </row>
    <row r="109" spans="1:21" x14ac:dyDescent="0.25">
      <c r="A109" s="6">
        <v>227</v>
      </c>
      <c r="B109" s="8" t="s">
        <v>297</v>
      </c>
      <c r="C109" s="5" t="s">
        <v>369</v>
      </c>
      <c r="D109" s="3" t="s">
        <v>368</v>
      </c>
      <c r="E109" s="3"/>
      <c r="F109" s="2"/>
      <c r="J109" s="2">
        <v>1</v>
      </c>
      <c r="K109" s="2">
        <v>1</v>
      </c>
      <c r="L109" s="17">
        <f t="shared" si="5"/>
        <v>1.4261266400456359E-2</v>
      </c>
      <c r="M109" s="2">
        <f t="shared" si="7"/>
        <v>2</v>
      </c>
      <c r="N109" s="17">
        <f t="shared" si="6"/>
        <v>7.407407407407407E-2</v>
      </c>
      <c r="P109" s="6">
        <v>1</v>
      </c>
      <c r="R109" s="6">
        <v>1</v>
      </c>
    </row>
    <row r="110" spans="1:21" x14ac:dyDescent="0.25">
      <c r="A110" s="6">
        <v>231</v>
      </c>
      <c r="B110" s="1" t="s">
        <v>1</v>
      </c>
      <c r="C110" s="5" t="s">
        <v>6</v>
      </c>
      <c r="D110" s="3" t="s">
        <v>375</v>
      </c>
      <c r="E110" s="3"/>
      <c r="F110" s="2"/>
      <c r="J110" s="2">
        <v>2</v>
      </c>
      <c r="K110" s="2">
        <v>10</v>
      </c>
      <c r="L110" s="17">
        <f t="shared" si="5"/>
        <v>0.1426126640045636</v>
      </c>
      <c r="M110" s="2">
        <f t="shared" si="7"/>
        <v>2</v>
      </c>
      <c r="N110" s="17">
        <f t="shared" si="6"/>
        <v>7.407407407407407E-2</v>
      </c>
      <c r="P110" s="6">
        <v>1</v>
      </c>
      <c r="Q110" s="6">
        <v>1</v>
      </c>
      <c r="T110" s="6" t="s">
        <v>491</v>
      </c>
    </row>
    <row r="111" spans="1:21" x14ac:dyDescent="0.25">
      <c r="A111" s="6">
        <v>237</v>
      </c>
      <c r="B111" s="1" t="s">
        <v>1</v>
      </c>
      <c r="C111" s="5" t="s">
        <v>383</v>
      </c>
      <c r="D111" s="3" t="s">
        <v>382</v>
      </c>
      <c r="E111" s="3"/>
      <c r="F111" s="2"/>
      <c r="J111" s="2">
        <v>1</v>
      </c>
      <c r="K111" s="2">
        <v>1</v>
      </c>
      <c r="L111" s="17">
        <f t="shared" si="5"/>
        <v>1.4261266400456359E-2</v>
      </c>
      <c r="M111" s="2">
        <f t="shared" si="7"/>
        <v>2</v>
      </c>
      <c r="N111" s="17">
        <f t="shared" si="6"/>
        <v>7.407407407407407E-2</v>
      </c>
      <c r="P111" s="6">
        <v>2</v>
      </c>
    </row>
    <row r="112" spans="1:21" x14ac:dyDescent="0.25">
      <c r="A112" s="6">
        <v>242</v>
      </c>
      <c r="B112" s="8" t="s">
        <v>137</v>
      </c>
      <c r="C112" s="5" t="s">
        <v>6</v>
      </c>
      <c r="D112" s="3" t="s">
        <v>97</v>
      </c>
      <c r="E112" s="3"/>
      <c r="F112" s="2"/>
      <c r="J112" s="2">
        <v>3</v>
      </c>
      <c r="K112" s="2">
        <v>2</v>
      </c>
      <c r="L112" s="17">
        <f t="shared" si="5"/>
        <v>2.8522532800912718E-2</v>
      </c>
      <c r="M112" s="2">
        <f t="shared" si="7"/>
        <v>2</v>
      </c>
      <c r="N112" s="17">
        <f t="shared" si="6"/>
        <v>7.407407407407407E-2</v>
      </c>
      <c r="Q112" s="6">
        <v>1</v>
      </c>
      <c r="S112" s="6">
        <v>1</v>
      </c>
    </row>
    <row r="113" spans="1:21" x14ac:dyDescent="0.25">
      <c r="A113" s="6">
        <v>264</v>
      </c>
      <c r="B113" s="3" t="s">
        <v>32</v>
      </c>
      <c r="C113" s="5" t="s">
        <v>388</v>
      </c>
      <c r="D113" s="3" t="s">
        <v>389</v>
      </c>
      <c r="E113" s="3"/>
      <c r="F113" s="2"/>
      <c r="K113" s="2">
        <v>7</v>
      </c>
      <c r="L113" s="17">
        <f t="shared" si="5"/>
        <v>9.9828864803194528E-2</v>
      </c>
      <c r="M113" s="2">
        <f t="shared" si="7"/>
        <v>2</v>
      </c>
      <c r="N113" s="17">
        <f t="shared" si="6"/>
        <v>7.407407407407407E-2</v>
      </c>
      <c r="T113" s="6">
        <v>2</v>
      </c>
    </row>
    <row r="114" spans="1:21" x14ac:dyDescent="0.25">
      <c r="A114" s="6">
        <v>136</v>
      </c>
      <c r="B114" s="8" t="s">
        <v>5</v>
      </c>
      <c r="C114" s="5" t="s">
        <v>6</v>
      </c>
      <c r="D114" s="3" t="s">
        <v>231</v>
      </c>
      <c r="E114" s="3"/>
      <c r="F114" s="2"/>
      <c r="G114" s="2"/>
      <c r="H114" s="2"/>
      <c r="I114" s="2"/>
      <c r="J114" s="2">
        <v>8</v>
      </c>
      <c r="K114" s="2">
        <v>6</v>
      </c>
      <c r="L114" s="17">
        <f t="shared" si="5"/>
        <v>8.5567598402738171E-2</v>
      </c>
      <c r="M114" s="2">
        <f t="shared" si="7"/>
        <v>2</v>
      </c>
      <c r="N114" s="17">
        <f t="shared" si="6"/>
        <v>7.407407407407407E-2</v>
      </c>
      <c r="Q114" s="6">
        <v>1</v>
      </c>
      <c r="T114" s="6">
        <v>1</v>
      </c>
    </row>
    <row r="115" spans="1:21" x14ac:dyDescent="0.25">
      <c r="B115" s="8" t="s">
        <v>7</v>
      </c>
      <c r="C115" s="5" t="s">
        <v>469</v>
      </c>
      <c r="D115" s="3" t="s">
        <v>468</v>
      </c>
      <c r="E115" s="3"/>
      <c r="F115" s="2"/>
      <c r="K115" s="2">
        <v>2</v>
      </c>
      <c r="L115" s="17">
        <f t="shared" si="5"/>
        <v>2.8522532800912718E-2</v>
      </c>
      <c r="M115" s="2">
        <f t="shared" si="7"/>
        <v>2</v>
      </c>
      <c r="N115" s="17">
        <f t="shared" si="6"/>
        <v>7.407407407407407E-2</v>
      </c>
      <c r="P115" s="6">
        <v>1</v>
      </c>
      <c r="R115" s="6">
        <v>1</v>
      </c>
    </row>
    <row r="116" spans="1:21" x14ac:dyDescent="0.25">
      <c r="B116" s="8" t="s">
        <v>0</v>
      </c>
      <c r="C116" s="5" t="s">
        <v>481</v>
      </c>
      <c r="D116" s="3" t="s">
        <v>480</v>
      </c>
      <c r="E116" s="3"/>
      <c r="F116" s="2"/>
      <c r="K116" s="2">
        <v>2</v>
      </c>
      <c r="L116" s="17">
        <f t="shared" si="5"/>
        <v>2.8522532800912718E-2</v>
      </c>
      <c r="M116" s="2">
        <f t="shared" si="7"/>
        <v>2</v>
      </c>
      <c r="N116" s="17">
        <f t="shared" si="6"/>
        <v>7.407407407407407E-2</v>
      </c>
      <c r="U116" s="6">
        <v>2</v>
      </c>
    </row>
    <row r="117" spans="1:21" x14ac:dyDescent="0.25">
      <c r="B117" s="8" t="s">
        <v>0</v>
      </c>
      <c r="C117" s="5" t="s">
        <v>493</v>
      </c>
      <c r="D117" s="3" t="s">
        <v>492</v>
      </c>
      <c r="E117" s="3"/>
      <c r="F117" s="2"/>
      <c r="L117" s="17">
        <f t="shared" si="5"/>
        <v>0</v>
      </c>
      <c r="M117" s="2">
        <f t="shared" si="7"/>
        <v>2</v>
      </c>
      <c r="N117" s="17">
        <f t="shared" si="6"/>
        <v>7.407407407407407E-2</v>
      </c>
      <c r="T117" s="6">
        <v>2</v>
      </c>
    </row>
    <row r="118" spans="1:21" x14ac:dyDescent="0.25">
      <c r="B118" s="8" t="s">
        <v>23</v>
      </c>
      <c r="C118" s="5" t="s">
        <v>6</v>
      </c>
      <c r="D118" s="3" t="s">
        <v>232</v>
      </c>
      <c r="E118" s="3"/>
      <c r="F118" s="2"/>
      <c r="L118" s="17">
        <f t="shared" si="5"/>
        <v>0</v>
      </c>
      <c r="M118" s="2">
        <f t="shared" si="7"/>
        <v>2</v>
      </c>
      <c r="N118" s="17">
        <f t="shared" si="6"/>
        <v>7.407407407407407E-2</v>
      </c>
      <c r="U118" s="6">
        <v>2</v>
      </c>
    </row>
    <row r="119" spans="1:21" x14ac:dyDescent="0.25">
      <c r="B119" s="8" t="s">
        <v>5</v>
      </c>
      <c r="C119" s="5" t="s">
        <v>461</v>
      </c>
      <c r="D119" s="3" t="s">
        <v>460</v>
      </c>
      <c r="E119" s="3"/>
      <c r="F119" s="2"/>
      <c r="K119" s="2">
        <v>3</v>
      </c>
      <c r="L119" s="17">
        <f t="shared" si="5"/>
        <v>4.2783799201369085E-2</v>
      </c>
      <c r="M119" s="2">
        <f t="shared" si="7"/>
        <v>1</v>
      </c>
      <c r="N119" s="17">
        <f t="shared" si="6"/>
        <v>3.7037037037037035E-2</v>
      </c>
      <c r="S119" s="6">
        <v>1</v>
      </c>
    </row>
    <row r="120" spans="1:21" x14ac:dyDescent="0.25">
      <c r="A120" s="6">
        <v>105</v>
      </c>
      <c r="B120" s="8" t="s">
        <v>5</v>
      </c>
      <c r="C120" s="5" t="s">
        <v>6</v>
      </c>
      <c r="D120" s="3" t="s">
        <v>181</v>
      </c>
      <c r="E120" s="3"/>
      <c r="F120" s="2"/>
      <c r="G120" s="2"/>
      <c r="H120" s="2"/>
      <c r="I120" s="2"/>
      <c r="J120" s="2">
        <v>3</v>
      </c>
      <c r="K120" s="2">
        <v>3</v>
      </c>
      <c r="L120" s="17">
        <f t="shared" si="5"/>
        <v>4.2783799201369085E-2</v>
      </c>
      <c r="M120" s="2">
        <f t="shared" si="7"/>
        <v>1</v>
      </c>
      <c r="N120" s="17">
        <f t="shared" si="6"/>
        <v>3.7037037037037035E-2</v>
      </c>
      <c r="T120" s="6">
        <v>1</v>
      </c>
    </row>
    <row r="121" spans="1:21" x14ac:dyDescent="0.25">
      <c r="A121" s="6">
        <v>10</v>
      </c>
      <c r="B121" s="8" t="s">
        <v>0</v>
      </c>
      <c r="C121" s="2" t="s">
        <v>55</v>
      </c>
      <c r="D121" s="3" t="s">
        <v>92</v>
      </c>
      <c r="E121" s="3"/>
      <c r="F121" s="2">
        <v>2</v>
      </c>
      <c r="G121" s="2">
        <v>11</v>
      </c>
      <c r="H121" s="2">
        <v>10</v>
      </c>
      <c r="I121" s="2">
        <v>9</v>
      </c>
      <c r="J121" s="2">
        <v>0</v>
      </c>
      <c r="K121" s="2">
        <v>0</v>
      </c>
      <c r="L121" s="17">
        <f t="shared" si="5"/>
        <v>0</v>
      </c>
      <c r="M121" s="2">
        <f t="shared" si="7"/>
        <v>1</v>
      </c>
      <c r="N121" s="17">
        <f t="shared" si="6"/>
        <v>3.7037037037037035E-2</v>
      </c>
      <c r="R121" s="6">
        <v>1</v>
      </c>
    </row>
    <row r="122" spans="1:21" x14ac:dyDescent="0.25">
      <c r="A122" s="6">
        <v>58</v>
      </c>
      <c r="B122" s="8" t="s">
        <v>5</v>
      </c>
      <c r="C122" s="5" t="s">
        <v>134</v>
      </c>
      <c r="D122" s="3" t="s">
        <v>61</v>
      </c>
      <c r="E122" s="3"/>
      <c r="F122" s="2">
        <v>2</v>
      </c>
      <c r="G122" s="2">
        <v>3</v>
      </c>
      <c r="H122" s="2">
        <v>10</v>
      </c>
      <c r="I122" s="2">
        <v>1</v>
      </c>
      <c r="J122" s="2">
        <v>6</v>
      </c>
      <c r="K122" s="2">
        <v>6</v>
      </c>
      <c r="L122" s="17">
        <f t="shared" si="5"/>
        <v>8.5567598402738171E-2</v>
      </c>
      <c r="M122" s="2">
        <f t="shared" si="7"/>
        <v>1</v>
      </c>
      <c r="N122" s="17">
        <f t="shared" si="6"/>
        <v>3.7037037037037035E-2</v>
      </c>
      <c r="S122" s="6">
        <v>1</v>
      </c>
    </row>
    <row r="123" spans="1:21" x14ac:dyDescent="0.25">
      <c r="A123" s="6">
        <v>44</v>
      </c>
      <c r="B123" s="8" t="s">
        <v>0</v>
      </c>
      <c r="C123" s="5" t="s">
        <v>96</v>
      </c>
      <c r="D123" s="3" t="s">
        <v>105</v>
      </c>
      <c r="E123" s="3"/>
      <c r="F123" s="2">
        <v>0</v>
      </c>
      <c r="G123" s="2">
        <v>10</v>
      </c>
      <c r="H123" s="2">
        <v>3</v>
      </c>
      <c r="I123" s="2">
        <v>2</v>
      </c>
      <c r="J123" s="2">
        <v>7</v>
      </c>
      <c r="K123" s="2">
        <v>19</v>
      </c>
      <c r="L123" s="17">
        <f t="shared" si="5"/>
        <v>0.27096406160867087</v>
      </c>
      <c r="M123" s="2">
        <f t="shared" si="7"/>
        <v>1</v>
      </c>
      <c r="N123" s="17">
        <f t="shared" si="6"/>
        <v>3.7037037037037035E-2</v>
      </c>
      <c r="U123" s="6">
        <v>1</v>
      </c>
    </row>
    <row r="124" spans="1:21" x14ac:dyDescent="0.25">
      <c r="A124" s="6">
        <v>45</v>
      </c>
      <c r="B124" s="8" t="s">
        <v>7</v>
      </c>
      <c r="C124" s="5" t="s">
        <v>54</v>
      </c>
      <c r="D124" s="3" t="s">
        <v>76</v>
      </c>
      <c r="E124" s="3"/>
      <c r="F124" s="2">
        <v>9</v>
      </c>
      <c r="G124" s="2">
        <v>10</v>
      </c>
      <c r="H124" s="2">
        <v>8</v>
      </c>
      <c r="I124" s="2">
        <v>2</v>
      </c>
      <c r="J124" s="2">
        <v>8</v>
      </c>
      <c r="K124" s="2">
        <v>6</v>
      </c>
      <c r="L124" s="17">
        <f t="shared" si="5"/>
        <v>8.5567598402738171E-2</v>
      </c>
      <c r="M124" s="2">
        <f t="shared" si="7"/>
        <v>1</v>
      </c>
      <c r="N124" s="17">
        <f t="shared" si="6"/>
        <v>3.7037037037037035E-2</v>
      </c>
      <c r="P124" s="6">
        <v>1</v>
      </c>
    </row>
    <row r="125" spans="1:21" x14ac:dyDescent="0.25">
      <c r="A125" s="6">
        <v>55</v>
      </c>
      <c r="B125" s="8" t="s">
        <v>7</v>
      </c>
      <c r="C125" s="5" t="s">
        <v>36</v>
      </c>
      <c r="D125" s="3" t="s">
        <v>107</v>
      </c>
      <c r="E125" s="3"/>
      <c r="F125" s="2">
        <v>2</v>
      </c>
      <c r="G125" s="2">
        <v>6</v>
      </c>
      <c r="H125" s="2">
        <v>3</v>
      </c>
      <c r="I125" s="2">
        <v>1</v>
      </c>
      <c r="J125" s="2">
        <v>1</v>
      </c>
      <c r="K125" s="2">
        <v>2</v>
      </c>
      <c r="L125" s="17">
        <f t="shared" si="5"/>
        <v>2.8522532800912718E-2</v>
      </c>
      <c r="M125" s="2">
        <f t="shared" si="7"/>
        <v>1</v>
      </c>
      <c r="N125" s="17">
        <f t="shared" si="6"/>
        <v>3.7037037037037035E-2</v>
      </c>
      <c r="S125" s="6">
        <v>1</v>
      </c>
    </row>
    <row r="126" spans="1:21" x14ac:dyDescent="0.25">
      <c r="A126" s="6">
        <v>56</v>
      </c>
      <c r="B126" s="8" t="s">
        <v>113</v>
      </c>
      <c r="C126" s="5" t="s">
        <v>6</v>
      </c>
      <c r="D126" s="3" t="s">
        <v>17</v>
      </c>
      <c r="E126" s="3"/>
      <c r="F126" s="2">
        <v>0</v>
      </c>
      <c r="G126" s="2">
        <v>8</v>
      </c>
      <c r="H126" s="2">
        <v>2</v>
      </c>
      <c r="I126" s="2">
        <v>1</v>
      </c>
      <c r="J126" s="2">
        <v>2</v>
      </c>
      <c r="K126" s="2">
        <v>0</v>
      </c>
      <c r="L126" s="17">
        <f t="shared" si="5"/>
        <v>0</v>
      </c>
      <c r="M126" s="2">
        <f t="shared" si="7"/>
        <v>1</v>
      </c>
      <c r="N126" s="17">
        <f t="shared" si="6"/>
        <v>3.7037037037037035E-2</v>
      </c>
      <c r="T126" s="6">
        <v>1</v>
      </c>
    </row>
    <row r="127" spans="1:21" x14ac:dyDescent="0.25">
      <c r="A127" s="6">
        <v>57</v>
      </c>
      <c r="B127" s="8" t="s">
        <v>1</v>
      </c>
      <c r="C127" s="5" t="s">
        <v>2</v>
      </c>
      <c r="D127" s="3" t="s">
        <v>120</v>
      </c>
      <c r="E127" s="3"/>
      <c r="F127" s="2">
        <v>5</v>
      </c>
      <c r="G127" s="2">
        <v>10</v>
      </c>
      <c r="H127" s="2">
        <v>10</v>
      </c>
      <c r="I127" s="2">
        <v>1</v>
      </c>
      <c r="J127" s="2">
        <v>6</v>
      </c>
      <c r="K127" s="2">
        <v>5</v>
      </c>
      <c r="L127" s="17">
        <f t="shared" si="5"/>
        <v>7.13063320022818E-2</v>
      </c>
      <c r="M127" s="2">
        <f t="shared" si="7"/>
        <v>1</v>
      </c>
      <c r="N127" s="17">
        <f t="shared" si="6"/>
        <v>3.7037037037037035E-2</v>
      </c>
      <c r="P127" s="6">
        <v>1</v>
      </c>
    </row>
    <row r="128" spans="1:21" x14ac:dyDescent="0.25">
      <c r="A128" s="6">
        <v>64</v>
      </c>
      <c r="B128" s="8" t="s">
        <v>80</v>
      </c>
      <c r="C128" s="5" t="s">
        <v>37</v>
      </c>
      <c r="D128" s="3" t="s">
        <v>77</v>
      </c>
      <c r="E128" s="3"/>
      <c r="F128" s="2">
        <v>6</v>
      </c>
      <c r="G128" s="2">
        <v>14</v>
      </c>
      <c r="H128" s="2">
        <v>15</v>
      </c>
      <c r="I128" s="2">
        <v>0</v>
      </c>
      <c r="J128" s="2">
        <v>2</v>
      </c>
      <c r="K128" s="2">
        <v>6</v>
      </c>
      <c r="L128" s="17">
        <f t="shared" si="5"/>
        <v>8.5567598402738171E-2</v>
      </c>
      <c r="M128" s="2">
        <f t="shared" si="7"/>
        <v>1</v>
      </c>
      <c r="N128" s="17">
        <f t="shared" si="6"/>
        <v>3.7037037037037035E-2</v>
      </c>
      <c r="S128" s="6">
        <v>1</v>
      </c>
    </row>
    <row r="129" spans="1:20" x14ac:dyDescent="0.25">
      <c r="A129" s="6">
        <v>70</v>
      </c>
      <c r="B129" s="8" t="s">
        <v>7</v>
      </c>
      <c r="C129" s="5" t="s">
        <v>126</v>
      </c>
      <c r="D129" s="3" t="s">
        <v>127</v>
      </c>
      <c r="E129" s="3"/>
      <c r="J129" s="2">
        <v>6</v>
      </c>
      <c r="K129" s="2">
        <v>4</v>
      </c>
      <c r="L129" s="17">
        <f t="shared" si="5"/>
        <v>5.7045065601825436E-2</v>
      </c>
      <c r="M129" s="2">
        <f t="shared" si="7"/>
        <v>1</v>
      </c>
      <c r="N129" s="17">
        <f t="shared" si="6"/>
        <v>3.7037037037037035E-2</v>
      </c>
      <c r="T129" s="6">
        <v>1</v>
      </c>
    </row>
    <row r="130" spans="1:20" x14ac:dyDescent="0.25">
      <c r="A130" s="6">
        <v>71</v>
      </c>
      <c r="B130" s="8" t="s">
        <v>7</v>
      </c>
      <c r="C130" s="5" t="s">
        <v>128</v>
      </c>
      <c r="D130" s="3" t="s">
        <v>130</v>
      </c>
      <c r="E130" s="3"/>
      <c r="J130" s="2">
        <v>5</v>
      </c>
      <c r="K130" s="2">
        <v>9</v>
      </c>
      <c r="L130" s="17">
        <f t="shared" si="5"/>
        <v>0.12835139760410724</v>
      </c>
      <c r="M130" s="2">
        <f t="shared" ref="M130:M147" si="8">SUM(O130:AP130)</f>
        <v>1</v>
      </c>
      <c r="N130" s="17">
        <f t="shared" si="6"/>
        <v>3.7037037037037035E-2</v>
      </c>
      <c r="P130" s="6">
        <v>1</v>
      </c>
    </row>
    <row r="131" spans="1:20" x14ac:dyDescent="0.25">
      <c r="A131" s="6">
        <v>72</v>
      </c>
      <c r="B131" s="8" t="s">
        <v>7</v>
      </c>
      <c r="C131" s="5" t="s">
        <v>129</v>
      </c>
      <c r="D131" s="3" t="s">
        <v>131</v>
      </c>
      <c r="E131" s="3"/>
      <c r="J131" s="2">
        <v>5</v>
      </c>
      <c r="K131" s="2">
        <v>6</v>
      </c>
      <c r="L131" s="17">
        <f t="shared" ref="L131:L194" si="9">K131/7012*100</f>
        <v>8.5567598402738171E-2</v>
      </c>
      <c r="M131" s="2">
        <f t="shared" si="8"/>
        <v>1</v>
      </c>
      <c r="N131" s="17">
        <f t="shared" ref="N131:N194" si="10">M131/2700*100</f>
        <v>3.7037037037037035E-2</v>
      </c>
      <c r="P131" s="6">
        <v>1</v>
      </c>
    </row>
    <row r="132" spans="1:20" x14ac:dyDescent="0.25">
      <c r="A132" s="6">
        <v>76</v>
      </c>
      <c r="B132" s="1" t="s">
        <v>1</v>
      </c>
      <c r="C132" s="7" t="s">
        <v>6</v>
      </c>
      <c r="D132" s="3" t="s">
        <v>41</v>
      </c>
      <c r="E132" s="3"/>
      <c r="J132" s="2">
        <v>6</v>
      </c>
      <c r="K132" s="2">
        <v>0</v>
      </c>
      <c r="L132" s="17">
        <f t="shared" si="9"/>
        <v>0</v>
      </c>
      <c r="M132" s="2">
        <f t="shared" si="8"/>
        <v>1</v>
      </c>
      <c r="N132" s="17">
        <f t="shared" si="10"/>
        <v>3.7037037037037035E-2</v>
      </c>
      <c r="T132" s="6">
        <v>1</v>
      </c>
    </row>
    <row r="133" spans="1:20" x14ac:dyDescent="0.25">
      <c r="A133" s="6">
        <v>82</v>
      </c>
      <c r="B133" s="8" t="s">
        <v>7</v>
      </c>
      <c r="C133" s="5" t="s">
        <v>147</v>
      </c>
      <c r="D133" s="3" t="s">
        <v>148</v>
      </c>
      <c r="E133" s="3"/>
      <c r="F133" s="2"/>
      <c r="G133" s="2"/>
      <c r="H133" s="2"/>
      <c r="I133" s="2"/>
      <c r="J133" s="2">
        <v>6</v>
      </c>
      <c r="K133" s="2">
        <v>5</v>
      </c>
      <c r="L133" s="17">
        <f t="shared" si="9"/>
        <v>7.13063320022818E-2</v>
      </c>
      <c r="M133" s="2">
        <f t="shared" si="8"/>
        <v>1</v>
      </c>
      <c r="N133" s="17">
        <f t="shared" si="10"/>
        <v>3.7037037037037035E-2</v>
      </c>
      <c r="S133" s="6">
        <v>1</v>
      </c>
    </row>
    <row r="134" spans="1:20" x14ac:dyDescent="0.25">
      <c r="A134" s="6">
        <v>83</v>
      </c>
      <c r="B134" s="1" t="s">
        <v>23</v>
      </c>
      <c r="C134" s="5" t="s">
        <v>42</v>
      </c>
      <c r="D134" s="3" t="s">
        <v>149</v>
      </c>
      <c r="E134" s="3"/>
      <c r="F134" s="2"/>
      <c r="G134" s="2"/>
      <c r="H134" s="2"/>
      <c r="I134" s="2"/>
      <c r="J134" s="2">
        <v>7</v>
      </c>
      <c r="K134" s="2">
        <v>3</v>
      </c>
      <c r="L134" s="17">
        <f t="shared" si="9"/>
        <v>4.2783799201369085E-2</v>
      </c>
      <c r="M134" s="2">
        <f t="shared" si="8"/>
        <v>1</v>
      </c>
      <c r="N134" s="17">
        <f t="shared" si="10"/>
        <v>3.7037037037037035E-2</v>
      </c>
      <c r="O134" s="6">
        <v>1</v>
      </c>
    </row>
    <row r="135" spans="1:20" x14ac:dyDescent="0.25">
      <c r="A135" s="6">
        <v>84</v>
      </c>
      <c r="B135" s="1" t="s">
        <v>1</v>
      </c>
      <c r="C135" s="5" t="s">
        <v>150</v>
      </c>
      <c r="D135" s="3" t="s">
        <v>151</v>
      </c>
      <c r="E135" s="3"/>
      <c r="F135" s="2"/>
      <c r="G135" s="2"/>
      <c r="H135" s="2"/>
      <c r="I135" s="2"/>
      <c r="J135" s="2">
        <v>5</v>
      </c>
      <c r="K135" s="2">
        <v>0</v>
      </c>
      <c r="L135" s="17">
        <f t="shared" si="9"/>
        <v>0</v>
      </c>
      <c r="M135" s="2">
        <f t="shared" si="8"/>
        <v>1</v>
      </c>
      <c r="N135" s="17">
        <f t="shared" si="10"/>
        <v>3.7037037037037035E-2</v>
      </c>
      <c r="T135" s="6">
        <v>1</v>
      </c>
    </row>
    <row r="136" spans="1:20" x14ac:dyDescent="0.25">
      <c r="A136" s="6">
        <v>230</v>
      </c>
      <c r="B136" s="8" t="s">
        <v>5</v>
      </c>
      <c r="C136" s="5" t="s">
        <v>373</v>
      </c>
      <c r="D136" s="3" t="s">
        <v>372</v>
      </c>
      <c r="E136" s="3"/>
      <c r="F136" s="2"/>
      <c r="J136" s="2">
        <v>1</v>
      </c>
      <c r="K136" s="2">
        <v>4</v>
      </c>
      <c r="L136" s="17">
        <f t="shared" si="9"/>
        <v>5.7045065601825436E-2</v>
      </c>
      <c r="M136" s="2">
        <f t="shared" si="8"/>
        <v>1</v>
      </c>
      <c r="N136" s="17">
        <f t="shared" si="10"/>
        <v>3.7037037037037035E-2</v>
      </c>
      <c r="S136" s="6">
        <v>1</v>
      </c>
    </row>
    <row r="137" spans="1:20" x14ac:dyDescent="0.25">
      <c r="A137" s="6">
        <v>96</v>
      </c>
      <c r="B137" s="1" t="s">
        <v>1</v>
      </c>
      <c r="C137" s="5" t="s">
        <v>167</v>
      </c>
      <c r="D137" s="3" t="s">
        <v>168</v>
      </c>
      <c r="E137" s="3"/>
      <c r="F137" s="2"/>
      <c r="G137" s="2"/>
      <c r="H137" s="2"/>
      <c r="I137" s="2"/>
      <c r="J137" s="2">
        <v>11</v>
      </c>
      <c r="K137" s="2">
        <v>2</v>
      </c>
      <c r="L137" s="17">
        <f t="shared" si="9"/>
        <v>2.8522532800912718E-2</v>
      </c>
      <c r="M137" s="2">
        <f t="shared" si="8"/>
        <v>1</v>
      </c>
      <c r="N137" s="17">
        <f t="shared" si="10"/>
        <v>3.7037037037037035E-2</v>
      </c>
      <c r="R137" s="6">
        <v>1</v>
      </c>
    </row>
    <row r="138" spans="1:20" x14ac:dyDescent="0.25">
      <c r="A138" s="6">
        <v>97</v>
      </c>
      <c r="B138" s="8" t="s">
        <v>14</v>
      </c>
      <c r="C138" s="5" t="s">
        <v>169</v>
      </c>
      <c r="D138" s="3" t="s">
        <v>93</v>
      </c>
      <c r="E138" s="3"/>
      <c r="F138" s="2"/>
      <c r="G138" s="2"/>
      <c r="H138" s="2"/>
      <c r="I138" s="2"/>
      <c r="J138" s="2">
        <v>8</v>
      </c>
      <c r="K138" s="2">
        <v>5</v>
      </c>
      <c r="L138" s="17">
        <f t="shared" si="9"/>
        <v>7.13063320022818E-2</v>
      </c>
      <c r="M138" s="2">
        <f t="shared" si="8"/>
        <v>1</v>
      </c>
      <c r="N138" s="17">
        <f t="shared" si="10"/>
        <v>3.7037037037037035E-2</v>
      </c>
      <c r="S138" s="6">
        <v>1</v>
      </c>
    </row>
    <row r="139" spans="1:20" x14ac:dyDescent="0.25">
      <c r="A139" s="6">
        <v>234</v>
      </c>
      <c r="B139" s="8" t="s">
        <v>5</v>
      </c>
      <c r="C139" s="5" t="s">
        <v>379</v>
      </c>
      <c r="D139" s="3" t="s">
        <v>378</v>
      </c>
      <c r="E139" s="3"/>
      <c r="F139" s="2"/>
      <c r="J139" s="2">
        <v>1</v>
      </c>
      <c r="K139" s="2">
        <v>2</v>
      </c>
      <c r="L139" s="17">
        <f t="shared" si="9"/>
        <v>2.8522532800912718E-2</v>
      </c>
      <c r="M139" s="2">
        <f t="shared" si="8"/>
        <v>1</v>
      </c>
      <c r="N139" s="17">
        <f t="shared" si="10"/>
        <v>3.7037037037037035E-2</v>
      </c>
      <c r="P139" s="6">
        <v>1</v>
      </c>
    </row>
    <row r="140" spans="1:20" x14ac:dyDescent="0.25">
      <c r="A140" s="6">
        <v>104</v>
      </c>
      <c r="B140" s="8" t="s">
        <v>7</v>
      </c>
      <c r="C140" s="5" t="s">
        <v>6</v>
      </c>
      <c r="D140" s="3" t="s">
        <v>180</v>
      </c>
      <c r="E140" s="3"/>
      <c r="F140" s="2"/>
      <c r="G140" s="2"/>
      <c r="H140" s="2"/>
      <c r="I140" s="2"/>
      <c r="J140" s="2">
        <v>1</v>
      </c>
      <c r="K140" s="2">
        <v>1</v>
      </c>
      <c r="L140" s="17">
        <f t="shared" si="9"/>
        <v>1.4261266400456359E-2</v>
      </c>
      <c r="M140" s="2">
        <f t="shared" si="8"/>
        <v>1</v>
      </c>
      <c r="N140" s="17">
        <f t="shared" si="10"/>
        <v>3.7037037037037035E-2</v>
      </c>
      <c r="P140" s="6">
        <v>1</v>
      </c>
    </row>
    <row r="141" spans="1:20" x14ac:dyDescent="0.25">
      <c r="B141" s="8" t="s">
        <v>5</v>
      </c>
      <c r="C141" s="5" t="s">
        <v>463</v>
      </c>
      <c r="D141" s="3" t="s">
        <v>462</v>
      </c>
      <c r="E141" s="3"/>
      <c r="F141" s="2"/>
      <c r="K141" s="2">
        <v>2</v>
      </c>
      <c r="L141" s="17">
        <f t="shared" si="9"/>
        <v>2.8522532800912718E-2</v>
      </c>
      <c r="M141" s="2">
        <f t="shared" si="8"/>
        <v>1</v>
      </c>
      <c r="N141" s="17">
        <f t="shared" si="10"/>
        <v>3.7037037037037035E-2</v>
      </c>
      <c r="T141" s="6">
        <v>1</v>
      </c>
    </row>
    <row r="142" spans="1:20" x14ac:dyDescent="0.25">
      <c r="A142" s="6">
        <v>113</v>
      </c>
      <c r="B142" s="8" t="s">
        <v>7</v>
      </c>
      <c r="C142" s="5" t="s">
        <v>194</v>
      </c>
      <c r="D142" s="3" t="s">
        <v>239</v>
      </c>
      <c r="E142" s="3"/>
      <c r="F142" s="2"/>
      <c r="G142" s="2"/>
      <c r="H142" s="2"/>
      <c r="I142" s="2"/>
      <c r="J142" s="2">
        <v>3</v>
      </c>
      <c r="K142" s="2">
        <v>3</v>
      </c>
      <c r="L142" s="17">
        <f t="shared" si="9"/>
        <v>4.2783799201369085E-2</v>
      </c>
      <c r="M142" s="2">
        <f t="shared" si="8"/>
        <v>1</v>
      </c>
      <c r="N142" s="17">
        <f t="shared" si="10"/>
        <v>3.7037037037037035E-2</v>
      </c>
      <c r="T142" s="6">
        <v>1</v>
      </c>
    </row>
    <row r="143" spans="1:20" x14ac:dyDescent="0.25">
      <c r="B143" s="8" t="s">
        <v>5</v>
      </c>
      <c r="C143" s="5" t="s">
        <v>294</v>
      </c>
      <c r="D143" s="3" t="s">
        <v>482</v>
      </c>
      <c r="E143" s="3"/>
      <c r="F143" s="2"/>
      <c r="K143" s="2">
        <v>1</v>
      </c>
      <c r="L143" s="17">
        <f t="shared" si="9"/>
        <v>1.4261266400456359E-2</v>
      </c>
      <c r="M143" s="2">
        <f t="shared" si="8"/>
        <v>1</v>
      </c>
      <c r="N143" s="17">
        <f t="shared" si="10"/>
        <v>3.7037037037037035E-2</v>
      </c>
      <c r="T143" s="6">
        <v>1</v>
      </c>
    </row>
    <row r="144" spans="1:20" x14ac:dyDescent="0.25">
      <c r="A144" s="6">
        <v>120</v>
      </c>
      <c r="B144" s="1" t="s">
        <v>1</v>
      </c>
      <c r="C144" s="5" t="s">
        <v>62</v>
      </c>
      <c r="D144" s="3" t="s">
        <v>205</v>
      </c>
      <c r="E144" s="3"/>
      <c r="F144" s="2"/>
      <c r="G144" s="2"/>
      <c r="H144" s="2"/>
      <c r="I144" s="2"/>
      <c r="J144" s="2">
        <v>4</v>
      </c>
      <c r="K144" s="2">
        <v>0</v>
      </c>
      <c r="L144" s="17">
        <f t="shared" si="9"/>
        <v>0</v>
      </c>
      <c r="M144" s="2">
        <f t="shared" si="8"/>
        <v>1</v>
      </c>
      <c r="N144" s="17">
        <f t="shared" si="10"/>
        <v>3.7037037037037035E-2</v>
      </c>
      <c r="O144" s="6">
        <v>1</v>
      </c>
    </row>
    <row r="145" spans="1:21" x14ac:dyDescent="0.25">
      <c r="A145" s="6">
        <v>125</v>
      </c>
      <c r="B145" s="1" t="s">
        <v>1</v>
      </c>
      <c r="C145" s="5" t="s">
        <v>214</v>
      </c>
      <c r="D145" s="3" t="s">
        <v>213</v>
      </c>
      <c r="E145" s="3"/>
      <c r="F145" s="2"/>
      <c r="G145" s="2"/>
      <c r="H145" s="2"/>
      <c r="I145" s="2"/>
      <c r="J145" s="2">
        <v>4</v>
      </c>
      <c r="K145" s="2">
        <v>5</v>
      </c>
      <c r="L145" s="17">
        <f t="shared" si="9"/>
        <v>7.13063320022818E-2</v>
      </c>
      <c r="M145" s="2">
        <f t="shared" si="8"/>
        <v>1</v>
      </c>
      <c r="N145" s="17">
        <f t="shared" si="10"/>
        <v>3.7037037037037035E-2</v>
      </c>
      <c r="U145" s="6">
        <v>1</v>
      </c>
    </row>
    <row r="146" spans="1:21" x14ac:dyDescent="0.25">
      <c r="A146" s="6">
        <v>142</v>
      </c>
      <c r="B146" s="1" t="s">
        <v>1</v>
      </c>
      <c r="C146" s="5" t="s">
        <v>6</v>
      </c>
      <c r="D146" s="3" t="s">
        <v>181</v>
      </c>
      <c r="E146" s="3"/>
      <c r="F146" s="2"/>
      <c r="J146" s="2">
        <v>2</v>
      </c>
      <c r="K146" s="2">
        <v>1</v>
      </c>
      <c r="L146" s="17">
        <f t="shared" si="9"/>
        <v>1.4261266400456359E-2</v>
      </c>
      <c r="M146" s="2">
        <f t="shared" si="8"/>
        <v>1</v>
      </c>
      <c r="N146" s="17">
        <f t="shared" si="10"/>
        <v>3.7037037037037035E-2</v>
      </c>
      <c r="T146" s="6">
        <v>1</v>
      </c>
    </row>
    <row r="147" spans="1:21" x14ac:dyDescent="0.25">
      <c r="A147" s="6">
        <v>143</v>
      </c>
      <c r="B147" s="8" t="s">
        <v>137</v>
      </c>
      <c r="C147" s="5" t="s">
        <v>6</v>
      </c>
      <c r="D147" s="3" t="s">
        <v>245</v>
      </c>
      <c r="E147" s="3"/>
      <c r="F147" s="2"/>
      <c r="J147" s="2">
        <v>3</v>
      </c>
      <c r="K147" s="2">
        <v>0</v>
      </c>
      <c r="L147" s="17">
        <f t="shared" si="9"/>
        <v>0</v>
      </c>
      <c r="M147" s="2">
        <f t="shared" si="8"/>
        <v>1</v>
      </c>
      <c r="N147" s="17">
        <f t="shared" si="10"/>
        <v>3.7037037037037035E-2</v>
      </c>
      <c r="S147" s="6">
        <v>1</v>
      </c>
    </row>
    <row r="148" spans="1:21" x14ac:dyDescent="0.25">
      <c r="A148" s="6">
        <v>144</v>
      </c>
      <c r="B148" s="8" t="s">
        <v>7</v>
      </c>
      <c r="C148" s="5" t="s">
        <v>247</v>
      </c>
      <c r="D148" s="3" t="s">
        <v>246</v>
      </c>
      <c r="E148" s="3"/>
      <c r="F148" s="2"/>
      <c r="J148" s="2">
        <v>1</v>
      </c>
      <c r="K148" s="2">
        <v>8</v>
      </c>
      <c r="L148" s="17">
        <f t="shared" si="9"/>
        <v>0.11409013120365087</v>
      </c>
      <c r="M148" s="2">
        <v>1</v>
      </c>
      <c r="N148" s="17">
        <f t="shared" si="10"/>
        <v>3.7037037037037035E-2</v>
      </c>
      <c r="P148" s="6">
        <v>1</v>
      </c>
      <c r="U148" s="6">
        <v>1</v>
      </c>
    </row>
    <row r="149" spans="1:21" x14ac:dyDescent="0.25">
      <c r="A149" s="6">
        <v>153</v>
      </c>
      <c r="B149" s="1" t="s">
        <v>1</v>
      </c>
      <c r="C149" s="5" t="s">
        <v>265</v>
      </c>
      <c r="D149" s="3" t="s">
        <v>264</v>
      </c>
      <c r="E149" s="3"/>
      <c r="J149" s="2">
        <v>3</v>
      </c>
      <c r="K149" s="2">
        <v>0</v>
      </c>
      <c r="L149" s="17">
        <f t="shared" si="9"/>
        <v>0</v>
      </c>
      <c r="M149" s="2">
        <f t="shared" ref="M149:M180" si="11">SUM(O149:AP149)</f>
        <v>1</v>
      </c>
      <c r="N149" s="17">
        <f t="shared" si="10"/>
        <v>3.7037037037037035E-2</v>
      </c>
      <c r="O149" s="6">
        <v>1</v>
      </c>
    </row>
    <row r="150" spans="1:21" x14ac:dyDescent="0.25">
      <c r="A150" s="6">
        <v>174</v>
      </c>
      <c r="B150" s="8" t="s">
        <v>7</v>
      </c>
      <c r="C150" s="5" t="s">
        <v>6</v>
      </c>
      <c r="D150" s="3" t="s">
        <v>285</v>
      </c>
      <c r="E150" s="3"/>
      <c r="F150" s="2"/>
      <c r="J150" s="2">
        <v>4</v>
      </c>
      <c r="K150" s="2">
        <v>4</v>
      </c>
      <c r="L150" s="17">
        <f t="shared" si="9"/>
        <v>5.7045065601825436E-2</v>
      </c>
      <c r="M150" s="2">
        <f t="shared" si="11"/>
        <v>1</v>
      </c>
      <c r="N150" s="17">
        <f t="shared" si="10"/>
        <v>3.7037037037037035E-2</v>
      </c>
      <c r="R150" s="6">
        <v>1</v>
      </c>
    </row>
    <row r="151" spans="1:21" x14ac:dyDescent="0.25">
      <c r="A151" s="6">
        <v>202</v>
      </c>
      <c r="B151" s="8" t="s">
        <v>3</v>
      </c>
      <c r="C151" s="5" t="s">
        <v>326</v>
      </c>
      <c r="D151" s="3" t="s">
        <v>325</v>
      </c>
      <c r="E151" s="3"/>
      <c r="J151" s="2">
        <v>3</v>
      </c>
      <c r="K151" s="2">
        <v>2</v>
      </c>
      <c r="L151" s="17">
        <f t="shared" si="9"/>
        <v>2.8522532800912718E-2</v>
      </c>
      <c r="M151" s="2">
        <f t="shared" si="11"/>
        <v>1</v>
      </c>
      <c r="N151" s="17">
        <f t="shared" si="10"/>
        <v>3.7037037037037035E-2</v>
      </c>
      <c r="P151" s="6">
        <v>1</v>
      </c>
    </row>
    <row r="152" spans="1:21" x14ac:dyDescent="0.25">
      <c r="B152" s="8" t="s">
        <v>3</v>
      </c>
      <c r="C152" s="5" t="s">
        <v>365</v>
      </c>
      <c r="D152" s="3" t="s">
        <v>475</v>
      </c>
      <c r="E152" s="3"/>
      <c r="K152" s="2">
        <v>1</v>
      </c>
      <c r="L152" s="17">
        <f t="shared" si="9"/>
        <v>1.4261266400456359E-2</v>
      </c>
      <c r="M152" s="2">
        <f t="shared" si="11"/>
        <v>1</v>
      </c>
      <c r="N152" s="17">
        <f t="shared" si="10"/>
        <v>3.7037037037037035E-2</v>
      </c>
      <c r="P152" s="6">
        <v>1</v>
      </c>
    </row>
    <row r="153" spans="1:21" x14ac:dyDescent="0.25">
      <c r="A153" s="6">
        <v>186</v>
      </c>
      <c r="B153" s="8" t="s">
        <v>0</v>
      </c>
      <c r="C153" s="5" t="s">
        <v>6</v>
      </c>
      <c r="D153" s="3" t="s">
        <v>299</v>
      </c>
      <c r="E153" s="3"/>
      <c r="F153" s="2"/>
      <c r="J153" s="2">
        <v>6</v>
      </c>
      <c r="K153" s="2">
        <v>10</v>
      </c>
      <c r="L153" s="17">
        <f t="shared" si="9"/>
        <v>0.1426126640045636</v>
      </c>
      <c r="M153" s="2">
        <f t="shared" si="11"/>
        <v>1</v>
      </c>
      <c r="N153" s="17">
        <f t="shared" si="10"/>
        <v>3.7037037037037035E-2</v>
      </c>
      <c r="T153" s="6">
        <v>1</v>
      </c>
    </row>
    <row r="154" spans="1:21" x14ac:dyDescent="0.25">
      <c r="A154" s="6">
        <v>189</v>
      </c>
      <c r="B154" s="8" t="s">
        <v>30</v>
      </c>
      <c r="C154" s="5" t="s">
        <v>305</v>
      </c>
      <c r="D154" s="3" t="s">
        <v>303</v>
      </c>
      <c r="E154" s="3"/>
      <c r="F154" s="2"/>
      <c r="J154" s="2">
        <v>2</v>
      </c>
      <c r="K154" s="2">
        <v>1</v>
      </c>
      <c r="L154" s="17">
        <f t="shared" si="9"/>
        <v>1.4261266400456359E-2</v>
      </c>
      <c r="M154" s="2">
        <f t="shared" si="11"/>
        <v>1</v>
      </c>
      <c r="N154" s="17">
        <f t="shared" si="10"/>
        <v>3.7037037037037035E-2</v>
      </c>
      <c r="O154" s="6">
        <v>1</v>
      </c>
    </row>
    <row r="155" spans="1:21" x14ac:dyDescent="0.25">
      <c r="A155" s="6">
        <v>190</v>
      </c>
      <c r="B155" s="8" t="s">
        <v>30</v>
      </c>
      <c r="C155" s="5" t="s">
        <v>306</v>
      </c>
      <c r="D155" s="3" t="s">
        <v>304</v>
      </c>
      <c r="E155" s="3"/>
      <c r="J155" s="2">
        <v>1</v>
      </c>
      <c r="K155" s="2">
        <v>2</v>
      </c>
      <c r="L155" s="17">
        <f t="shared" si="9"/>
        <v>2.8522532800912718E-2</v>
      </c>
      <c r="M155" s="2">
        <f t="shared" si="11"/>
        <v>1</v>
      </c>
      <c r="N155" s="17">
        <f t="shared" si="10"/>
        <v>3.7037037037037035E-2</v>
      </c>
      <c r="O155" s="6">
        <v>1</v>
      </c>
    </row>
    <row r="156" spans="1:21" x14ac:dyDescent="0.25">
      <c r="A156" s="6">
        <v>200</v>
      </c>
      <c r="B156" s="8" t="s">
        <v>7</v>
      </c>
      <c r="C156" s="5" t="s">
        <v>4</v>
      </c>
      <c r="D156" s="3" t="s">
        <v>323</v>
      </c>
      <c r="E156" s="3"/>
      <c r="F156" s="2"/>
      <c r="J156" s="2">
        <v>1</v>
      </c>
      <c r="K156" s="2">
        <v>5</v>
      </c>
      <c r="L156" s="17">
        <f t="shared" si="9"/>
        <v>7.13063320022818E-2</v>
      </c>
      <c r="M156" s="2">
        <f t="shared" si="11"/>
        <v>1</v>
      </c>
      <c r="N156" s="17">
        <f t="shared" si="10"/>
        <v>3.7037037037037035E-2</v>
      </c>
      <c r="T156" s="6">
        <v>1</v>
      </c>
    </row>
    <row r="157" spans="1:21" x14ac:dyDescent="0.25">
      <c r="A157" s="6">
        <v>203</v>
      </c>
      <c r="B157" s="1" t="s">
        <v>137</v>
      </c>
      <c r="C157" s="5" t="s">
        <v>6</v>
      </c>
      <c r="D157" s="3" t="s">
        <v>48</v>
      </c>
      <c r="E157" s="3"/>
      <c r="F157" s="2"/>
      <c r="J157" s="2">
        <v>2</v>
      </c>
      <c r="K157" s="2">
        <v>5</v>
      </c>
      <c r="L157" s="17">
        <f t="shared" si="9"/>
        <v>7.13063320022818E-2</v>
      </c>
      <c r="M157" s="2">
        <f t="shared" si="11"/>
        <v>1</v>
      </c>
      <c r="N157" s="17">
        <f t="shared" si="10"/>
        <v>3.7037037037037035E-2</v>
      </c>
      <c r="R157" s="6">
        <v>1</v>
      </c>
    </row>
    <row r="158" spans="1:21" x14ac:dyDescent="0.25">
      <c r="A158" s="6">
        <v>127</v>
      </c>
      <c r="B158" s="8" t="s">
        <v>20</v>
      </c>
      <c r="C158" s="5" t="s">
        <v>218</v>
      </c>
      <c r="D158" s="3" t="s">
        <v>217</v>
      </c>
      <c r="E158" s="3"/>
      <c r="F158" s="2"/>
      <c r="J158" s="2">
        <v>1</v>
      </c>
      <c r="K158" s="2">
        <v>0</v>
      </c>
      <c r="L158" s="17">
        <f t="shared" si="9"/>
        <v>0</v>
      </c>
      <c r="M158" s="2">
        <f t="shared" si="11"/>
        <v>1</v>
      </c>
      <c r="N158" s="17">
        <f t="shared" si="10"/>
        <v>3.7037037037037035E-2</v>
      </c>
      <c r="Q158" s="6">
        <v>1</v>
      </c>
    </row>
    <row r="159" spans="1:21" x14ac:dyDescent="0.25">
      <c r="A159" s="6">
        <v>216</v>
      </c>
      <c r="B159" s="8" t="s">
        <v>30</v>
      </c>
      <c r="C159" s="5" t="s">
        <v>349</v>
      </c>
      <c r="D159" s="3" t="s">
        <v>348</v>
      </c>
      <c r="E159" s="3"/>
      <c r="F159" s="2"/>
      <c r="J159" s="2">
        <v>2</v>
      </c>
      <c r="K159" s="2">
        <v>0</v>
      </c>
      <c r="L159" s="17">
        <f t="shared" si="9"/>
        <v>0</v>
      </c>
      <c r="M159" s="2">
        <f t="shared" si="11"/>
        <v>1</v>
      </c>
      <c r="N159" s="17">
        <f t="shared" si="10"/>
        <v>3.7037037037037035E-2</v>
      </c>
      <c r="O159" s="6">
        <v>1</v>
      </c>
    </row>
    <row r="160" spans="1:21" x14ac:dyDescent="0.25">
      <c r="A160" s="6">
        <v>54</v>
      </c>
      <c r="B160" s="8" t="s">
        <v>5</v>
      </c>
      <c r="C160" s="5" t="s">
        <v>44</v>
      </c>
      <c r="D160" s="3" t="s">
        <v>89</v>
      </c>
      <c r="E160" s="3"/>
      <c r="F160" s="2">
        <v>5</v>
      </c>
      <c r="G160" s="2">
        <v>8</v>
      </c>
      <c r="H160" s="2">
        <v>2</v>
      </c>
      <c r="I160" s="2">
        <v>1</v>
      </c>
      <c r="J160" s="2">
        <v>2</v>
      </c>
      <c r="K160" s="2">
        <v>3</v>
      </c>
      <c r="L160" s="17">
        <f t="shared" si="9"/>
        <v>4.2783799201369085E-2</v>
      </c>
      <c r="M160" s="2">
        <f t="shared" si="11"/>
        <v>1</v>
      </c>
      <c r="N160" s="17">
        <f t="shared" si="10"/>
        <v>3.7037037037037035E-2</v>
      </c>
      <c r="T160" s="6">
        <v>1</v>
      </c>
    </row>
    <row r="161" spans="1:21 16350:16373" x14ac:dyDescent="0.25">
      <c r="B161" s="8" t="s">
        <v>5</v>
      </c>
      <c r="C161" s="5" t="s">
        <v>6</v>
      </c>
      <c r="D161" s="3" t="s">
        <v>428</v>
      </c>
      <c r="E161" s="3"/>
      <c r="F161" s="2"/>
      <c r="L161" s="17">
        <f t="shared" si="9"/>
        <v>0</v>
      </c>
      <c r="M161" s="2">
        <f t="shared" si="11"/>
        <v>1</v>
      </c>
      <c r="N161" s="17">
        <f t="shared" si="10"/>
        <v>3.7037037037037035E-2</v>
      </c>
      <c r="P161" s="6">
        <v>1</v>
      </c>
    </row>
    <row r="162" spans="1:21 16350:16373" x14ac:dyDescent="0.25">
      <c r="A162" s="6">
        <v>217</v>
      </c>
      <c r="B162" s="8" t="s">
        <v>5</v>
      </c>
      <c r="C162" s="5" t="s">
        <v>351</v>
      </c>
      <c r="D162" s="3" t="s">
        <v>350</v>
      </c>
      <c r="E162" s="3"/>
      <c r="F162" s="2"/>
      <c r="J162" s="2">
        <v>2</v>
      </c>
      <c r="K162" s="2">
        <v>1</v>
      </c>
      <c r="L162" s="17">
        <f t="shared" si="9"/>
        <v>1.4261266400456359E-2</v>
      </c>
      <c r="M162" s="2">
        <f t="shared" si="11"/>
        <v>1</v>
      </c>
      <c r="N162" s="17">
        <f t="shared" si="10"/>
        <v>3.7037037037037035E-2</v>
      </c>
      <c r="O162" s="6">
        <v>1</v>
      </c>
    </row>
    <row r="163" spans="1:21 16350:16373" x14ac:dyDescent="0.25">
      <c r="A163" s="6">
        <v>239</v>
      </c>
      <c r="B163" s="8" t="s">
        <v>0</v>
      </c>
      <c r="C163" s="5" t="s">
        <v>385</v>
      </c>
      <c r="D163" s="3" t="s">
        <v>384</v>
      </c>
      <c r="E163" s="3"/>
      <c r="F163" s="2"/>
      <c r="J163" s="2">
        <v>2</v>
      </c>
      <c r="K163" s="2">
        <v>3</v>
      </c>
      <c r="L163" s="17">
        <f t="shared" si="9"/>
        <v>4.2783799201369085E-2</v>
      </c>
      <c r="M163" s="2">
        <f t="shared" si="11"/>
        <v>1</v>
      </c>
      <c r="N163" s="17">
        <f t="shared" si="10"/>
        <v>3.7037037037037035E-2</v>
      </c>
      <c r="U163" s="6">
        <v>1</v>
      </c>
    </row>
    <row r="164" spans="1:21 16350:16373" x14ac:dyDescent="0.25">
      <c r="A164" s="6">
        <v>224</v>
      </c>
      <c r="B164" s="8" t="s">
        <v>5</v>
      </c>
      <c r="C164" s="5" t="s">
        <v>363</v>
      </c>
      <c r="D164" s="3" t="s">
        <v>362</v>
      </c>
      <c r="E164" s="3"/>
      <c r="F164" s="2"/>
      <c r="J164" s="2">
        <v>1</v>
      </c>
      <c r="K164" s="2">
        <v>3</v>
      </c>
      <c r="L164" s="17">
        <f t="shared" si="9"/>
        <v>4.2783799201369085E-2</v>
      </c>
      <c r="M164" s="2">
        <f t="shared" si="11"/>
        <v>1</v>
      </c>
      <c r="N164" s="17">
        <f t="shared" si="10"/>
        <v>3.7037037037037035E-2</v>
      </c>
      <c r="R164" s="6">
        <v>1</v>
      </c>
    </row>
    <row r="165" spans="1:21 16350:16373" x14ac:dyDescent="0.25">
      <c r="A165" s="6">
        <v>249</v>
      </c>
      <c r="B165" s="8" t="s">
        <v>281</v>
      </c>
      <c r="C165" s="5" t="s">
        <v>400</v>
      </c>
      <c r="D165" s="3" t="s">
        <v>399</v>
      </c>
      <c r="E165" s="3"/>
      <c r="F165" s="2"/>
      <c r="J165" s="2">
        <v>1</v>
      </c>
      <c r="K165" s="2">
        <v>0</v>
      </c>
      <c r="L165" s="17">
        <f t="shared" si="9"/>
        <v>0</v>
      </c>
      <c r="M165" s="2">
        <f t="shared" si="11"/>
        <v>1</v>
      </c>
      <c r="N165" s="17">
        <f t="shared" si="10"/>
        <v>3.7037037037037035E-2</v>
      </c>
      <c r="S165" s="6">
        <v>1</v>
      </c>
    </row>
    <row r="166" spans="1:21 16350:16373" x14ac:dyDescent="0.25">
      <c r="B166" s="8" t="s">
        <v>0</v>
      </c>
      <c r="C166" s="5" t="s">
        <v>6</v>
      </c>
      <c r="D166" s="3" t="s">
        <v>429</v>
      </c>
      <c r="E166" s="3"/>
      <c r="F166" s="2"/>
      <c r="K166" s="2">
        <v>2</v>
      </c>
      <c r="L166" s="17">
        <f t="shared" si="9"/>
        <v>2.8522532800912718E-2</v>
      </c>
      <c r="M166" s="2">
        <f t="shared" si="11"/>
        <v>1</v>
      </c>
      <c r="N166" s="17">
        <f t="shared" si="10"/>
        <v>3.7037037037037035E-2</v>
      </c>
      <c r="R166" s="6">
        <v>1</v>
      </c>
    </row>
    <row r="167" spans="1:21 16350:16373" x14ac:dyDescent="0.25">
      <c r="B167" s="8" t="s">
        <v>7</v>
      </c>
      <c r="C167" s="5" t="s">
        <v>439</v>
      </c>
      <c r="D167" s="3" t="s">
        <v>438</v>
      </c>
      <c r="E167" s="3"/>
      <c r="F167" s="2"/>
      <c r="K167" s="2">
        <v>4</v>
      </c>
      <c r="L167" s="17">
        <f t="shared" si="9"/>
        <v>5.7045065601825436E-2</v>
      </c>
      <c r="M167" s="2">
        <f t="shared" si="11"/>
        <v>1</v>
      </c>
      <c r="N167" s="17">
        <f t="shared" si="10"/>
        <v>3.7037037037037035E-2</v>
      </c>
      <c r="S167" s="6">
        <v>1</v>
      </c>
    </row>
    <row r="168" spans="1:21 16350:16373" x14ac:dyDescent="0.25">
      <c r="A168" s="6">
        <v>208</v>
      </c>
      <c r="B168" s="8" t="s">
        <v>20</v>
      </c>
      <c r="C168" s="5" t="s">
        <v>336</v>
      </c>
      <c r="D168" s="3" t="s">
        <v>335</v>
      </c>
      <c r="E168" s="3"/>
      <c r="F168" s="2"/>
      <c r="J168" s="2">
        <v>2</v>
      </c>
      <c r="K168" s="2">
        <v>0</v>
      </c>
      <c r="L168" s="17">
        <f t="shared" si="9"/>
        <v>0</v>
      </c>
      <c r="M168" s="2">
        <f t="shared" si="11"/>
        <v>1</v>
      </c>
      <c r="N168" s="17">
        <f t="shared" si="10"/>
        <v>3.7037037037037035E-2</v>
      </c>
      <c r="S168" s="6">
        <v>1</v>
      </c>
    </row>
    <row r="169" spans="1:21 16350:16373" x14ac:dyDescent="0.25">
      <c r="A169" s="6">
        <v>117</v>
      </c>
      <c r="B169" s="8" t="s">
        <v>5</v>
      </c>
      <c r="C169" s="5" t="s">
        <v>201</v>
      </c>
      <c r="D169" s="3" t="s">
        <v>200</v>
      </c>
      <c r="E169" s="3"/>
      <c r="F169" s="2"/>
      <c r="G169" s="2"/>
      <c r="H169" s="2"/>
      <c r="I169" s="2"/>
      <c r="J169" s="2">
        <v>7</v>
      </c>
      <c r="K169" s="2">
        <v>4</v>
      </c>
      <c r="L169" s="17">
        <f t="shared" si="9"/>
        <v>5.7045065601825436E-2</v>
      </c>
      <c r="M169" s="2">
        <f t="shared" si="11"/>
        <v>1</v>
      </c>
      <c r="N169" s="17">
        <f t="shared" si="10"/>
        <v>3.7037037037037035E-2</v>
      </c>
      <c r="T169" s="6">
        <v>1</v>
      </c>
    </row>
    <row r="170" spans="1:21 16350:16373" x14ac:dyDescent="0.25">
      <c r="B170" s="8" t="s">
        <v>7</v>
      </c>
      <c r="C170" s="5" t="s">
        <v>459</v>
      </c>
      <c r="D170" s="3" t="s">
        <v>389</v>
      </c>
      <c r="E170" s="3"/>
      <c r="F170" s="2"/>
      <c r="K170" s="2">
        <v>3</v>
      </c>
      <c r="L170" s="17">
        <f t="shared" si="9"/>
        <v>4.2783799201369085E-2</v>
      </c>
      <c r="M170" s="2">
        <f t="shared" si="11"/>
        <v>1</v>
      </c>
      <c r="N170" s="17">
        <f t="shared" si="10"/>
        <v>3.7037037037037035E-2</v>
      </c>
      <c r="T170" s="6">
        <v>1</v>
      </c>
    </row>
    <row r="171" spans="1:21 16350:16373" x14ac:dyDescent="0.25">
      <c r="B171" s="1" t="s">
        <v>1</v>
      </c>
      <c r="C171" s="5" t="s">
        <v>477</v>
      </c>
      <c r="D171" s="3" t="s">
        <v>476</v>
      </c>
      <c r="E171" s="3"/>
      <c r="F171" s="2"/>
      <c r="K171" s="2">
        <v>1</v>
      </c>
      <c r="L171" s="17">
        <f t="shared" si="9"/>
        <v>1.4261266400456359E-2</v>
      </c>
      <c r="M171" s="2">
        <f t="shared" si="11"/>
        <v>1</v>
      </c>
      <c r="N171" s="17">
        <f t="shared" si="10"/>
        <v>3.7037037037037035E-2</v>
      </c>
      <c r="O171" s="6">
        <v>1</v>
      </c>
    </row>
    <row r="172" spans="1:21 16350:16373" x14ac:dyDescent="0.25">
      <c r="B172" s="8" t="s">
        <v>5</v>
      </c>
      <c r="C172" s="5" t="s">
        <v>436</v>
      </c>
      <c r="D172" s="3" t="s">
        <v>435</v>
      </c>
      <c r="E172" s="3"/>
      <c r="F172" s="2"/>
      <c r="K172" s="2">
        <v>1</v>
      </c>
      <c r="L172" s="17">
        <f t="shared" si="9"/>
        <v>1.4261266400456359E-2</v>
      </c>
      <c r="M172" s="2">
        <f t="shared" si="11"/>
        <v>1</v>
      </c>
      <c r="N172" s="17">
        <f t="shared" si="10"/>
        <v>3.7037037037037035E-2</v>
      </c>
      <c r="R172" s="6">
        <v>1</v>
      </c>
    </row>
    <row r="173" spans="1:21 16350:16373" x14ac:dyDescent="0.25">
      <c r="B173" s="8" t="s">
        <v>7</v>
      </c>
      <c r="C173" s="2" t="s">
        <v>487</v>
      </c>
      <c r="D173" s="3" t="s">
        <v>488</v>
      </c>
      <c r="E173" s="3"/>
      <c r="F173" s="2"/>
      <c r="L173" s="17">
        <f t="shared" si="9"/>
        <v>0</v>
      </c>
      <c r="M173" s="2">
        <f t="shared" si="11"/>
        <v>1</v>
      </c>
      <c r="N173" s="17">
        <f t="shared" si="10"/>
        <v>3.7037037037037035E-2</v>
      </c>
      <c r="R173" s="6">
        <v>1</v>
      </c>
      <c r="XDV173" s="8"/>
      <c r="XDW173" s="5"/>
      <c r="XDX173" s="3"/>
      <c r="XDY173" s="2"/>
      <c r="XEC173" s="8"/>
      <c r="XED173" s="5"/>
      <c r="XEE173" s="3"/>
      <c r="XEJ173" s="8"/>
      <c r="XEK173" s="5"/>
      <c r="XEL173" s="3"/>
      <c r="XEQ173" s="8"/>
      <c r="XER173" s="5"/>
      <c r="XES173" s="3"/>
    </row>
    <row r="174" spans="1:21 16350:16373" x14ac:dyDescent="0.25">
      <c r="B174" s="8" t="s">
        <v>30</v>
      </c>
      <c r="C174" s="5" t="s">
        <v>6</v>
      </c>
      <c r="D174" s="3" t="s">
        <v>97</v>
      </c>
      <c r="E174" s="3"/>
      <c r="F174" s="2"/>
      <c r="L174" s="17">
        <f t="shared" si="9"/>
        <v>0</v>
      </c>
      <c r="M174" s="2">
        <f t="shared" si="11"/>
        <v>1</v>
      </c>
      <c r="N174" s="17">
        <f t="shared" si="10"/>
        <v>3.7037037037037035E-2</v>
      </c>
      <c r="R174" s="6">
        <v>1</v>
      </c>
    </row>
    <row r="175" spans="1:21 16350:16373" x14ac:dyDescent="0.25">
      <c r="B175" s="1" t="s">
        <v>1</v>
      </c>
      <c r="C175" s="5" t="s">
        <v>490</v>
      </c>
      <c r="D175" s="3" t="s">
        <v>489</v>
      </c>
      <c r="E175" s="3"/>
      <c r="F175" s="2"/>
      <c r="L175" s="17">
        <f t="shared" si="9"/>
        <v>0</v>
      </c>
      <c r="M175" s="2">
        <f t="shared" si="11"/>
        <v>1</v>
      </c>
      <c r="N175" s="17">
        <f t="shared" si="10"/>
        <v>3.7037037037037035E-2</v>
      </c>
      <c r="S175" s="6">
        <v>1</v>
      </c>
    </row>
    <row r="176" spans="1:21 16350:16373" x14ac:dyDescent="0.25">
      <c r="B176" s="8" t="s">
        <v>297</v>
      </c>
      <c r="C176" s="5" t="s">
        <v>6</v>
      </c>
      <c r="D176" s="3" t="s">
        <v>232</v>
      </c>
      <c r="E176" s="3"/>
      <c r="F176" s="2"/>
      <c r="L176" s="17">
        <f t="shared" si="9"/>
        <v>0</v>
      </c>
      <c r="M176" s="2">
        <f t="shared" si="11"/>
        <v>1</v>
      </c>
      <c r="N176" s="17">
        <f t="shared" si="10"/>
        <v>3.7037037037037035E-2</v>
      </c>
      <c r="T176" s="6">
        <v>1</v>
      </c>
    </row>
    <row r="177" spans="1:21" x14ac:dyDescent="0.25">
      <c r="B177" s="8" t="s">
        <v>281</v>
      </c>
      <c r="C177" s="5" t="s">
        <v>6</v>
      </c>
      <c r="D177" s="3" t="s">
        <v>494</v>
      </c>
      <c r="E177" s="3"/>
      <c r="F177" s="2"/>
      <c r="L177" s="17">
        <f t="shared" si="9"/>
        <v>0</v>
      </c>
      <c r="M177" s="2">
        <f t="shared" si="11"/>
        <v>1</v>
      </c>
      <c r="N177" s="17">
        <f t="shared" si="10"/>
        <v>3.7037037037037035E-2</v>
      </c>
      <c r="T177" s="6">
        <v>1</v>
      </c>
    </row>
    <row r="178" spans="1:21" x14ac:dyDescent="0.25">
      <c r="B178" s="8" t="s">
        <v>12</v>
      </c>
      <c r="C178" s="5" t="s">
        <v>498</v>
      </c>
      <c r="D178" s="3" t="s">
        <v>497</v>
      </c>
      <c r="E178" s="3"/>
      <c r="F178" s="2"/>
      <c r="L178" s="17">
        <f t="shared" si="9"/>
        <v>0</v>
      </c>
      <c r="M178" s="2">
        <f t="shared" si="11"/>
        <v>1</v>
      </c>
      <c r="N178" s="17">
        <f t="shared" si="10"/>
        <v>3.7037037037037035E-2</v>
      </c>
      <c r="U178" s="6">
        <v>1</v>
      </c>
    </row>
    <row r="179" spans="1:21" x14ac:dyDescent="0.25">
      <c r="A179" s="6">
        <v>100</v>
      </c>
      <c r="B179" s="8" t="s">
        <v>5</v>
      </c>
      <c r="C179" s="5" t="s">
        <v>174</v>
      </c>
      <c r="D179" s="3" t="s">
        <v>173</v>
      </c>
      <c r="E179" s="3"/>
      <c r="F179" s="2"/>
      <c r="G179" s="2"/>
      <c r="H179" s="2"/>
      <c r="I179" s="2"/>
      <c r="J179" s="2">
        <v>1</v>
      </c>
      <c r="K179" s="2">
        <v>0</v>
      </c>
      <c r="L179" s="17">
        <f t="shared" si="9"/>
        <v>0</v>
      </c>
      <c r="M179" s="2">
        <f t="shared" si="11"/>
        <v>0</v>
      </c>
      <c r="N179" s="17">
        <f t="shared" si="10"/>
        <v>0</v>
      </c>
    </row>
    <row r="180" spans="1:21" x14ac:dyDescent="0.25">
      <c r="A180" s="6">
        <v>6</v>
      </c>
      <c r="B180" s="8" t="s">
        <v>0</v>
      </c>
      <c r="C180" s="2" t="s">
        <v>25</v>
      </c>
      <c r="D180" s="3" t="s">
        <v>346</v>
      </c>
      <c r="E180" s="3"/>
      <c r="F180" s="2">
        <v>7</v>
      </c>
      <c r="G180" s="2">
        <v>9</v>
      </c>
      <c r="H180" s="2">
        <v>28</v>
      </c>
      <c r="I180" s="2">
        <v>13</v>
      </c>
      <c r="J180" s="2">
        <v>2</v>
      </c>
      <c r="K180" s="2">
        <v>3</v>
      </c>
      <c r="L180" s="17">
        <f t="shared" si="9"/>
        <v>4.2783799201369085E-2</v>
      </c>
      <c r="M180" s="2">
        <f t="shared" si="11"/>
        <v>0</v>
      </c>
      <c r="N180" s="17">
        <f t="shared" si="10"/>
        <v>0</v>
      </c>
    </row>
    <row r="181" spans="1:21" x14ac:dyDescent="0.25">
      <c r="A181" s="6">
        <v>7</v>
      </c>
      <c r="B181" s="8" t="s">
        <v>0</v>
      </c>
      <c r="C181" s="2" t="s">
        <v>39</v>
      </c>
      <c r="D181" s="3" t="s">
        <v>90</v>
      </c>
      <c r="E181" s="3"/>
      <c r="F181" s="2">
        <v>6</v>
      </c>
      <c r="G181" s="2">
        <v>30</v>
      </c>
      <c r="H181" s="2">
        <v>13</v>
      </c>
      <c r="I181" s="2">
        <v>10</v>
      </c>
      <c r="J181" s="2">
        <v>0</v>
      </c>
      <c r="K181" s="2">
        <v>0</v>
      </c>
      <c r="L181" s="17">
        <f t="shared" si="9"/>
        <v>0</v>
      </c>
      <c r="M181" s="2">
        <f t="shared" ref="M181:M212" si="12">SUM(O181:AP181)</f>
        <v>0</v>
      </c>
      <c r="N181" s="17">
        <f t="shared" si="10"/>
        <v>0</v>
      </c>
    </row>
    <row r="182" spans="1:21" x14ac:dyDescent="0.25">
      <c r="A182" s="6">
        <v>19</v>
      </c>
      <c r="B182" s="8" t="s">
        <v>7</v>
      </c>
      <c r="C182" s="2" t="s">
        <v>40</v>
      </c>
      <c r="D182" s="3" t="s">
        <v>118</v>
      </c>
      <c r="E182" s="3"/>
      <c r="F182" s="2">
        <v>3</v>
      </c>
      <c r="G182" s="2">
        <v>6</v>
      </c>
      <c r="H182" s="2">
        <v>11</v>
      </c>
      <c r="I182" s="2">
        <v>6</v>
      </c>
      <c r="J182" s="2">
        <v>0</v>
      </c>
      <c r="K182" s="2">
        <v>0</v>
      </c>
      <c r="L182" s="17">
        <f t="shared" si="9"/>
        <v>0</v>
      </c>
      <c r="M182" s="2">
        <f t="shared" si="12"/>
        <v>0</v>
      </c>
      <c r="N182" s="17">
        <f t="shared" si="10"/>
        <v>0</v>
      </c>
    </row>
    <row r="183" spans="1:21" x14ac:dyDescent="0.25">
      <c r="A183" s="6">
        <v>218</v>
      </c>
      <c r="B183" s="8" t="s">
        <v>5</v>
      </c>
      <c r="C183" s="5" t="s">
        <v>249</v>
      </c>
      <c r="D183" s="3" t="s">
        <v>352</v>
      </c>
      <c r="E183" s="3"/>
      <c r="F183" s="2"/>
      <c r="J183" s="2">
        <v>1</v>
      </c>
      <c r="K183" s="2">
        <v>3</v>
      </c>
      <c r="L183" s="17">
        <f t="shared" si="9"/>
        <v>4.2783799201369085E-2</v>
      </c>
      <c r="M183" s="2">
        <f t="shared" si="12"/>
        <v>0</v>
      </c>
      <c r="N183" s="17">
        <f t="shared" si="10"/>
        <v>0</v>
      </c>
    </row>
    <row r="184" spans="1:21" x14ac:dyDescent="0.25">
      <c r="A184" s="6">
        <v>22</v>
      </c>
      <c r="B184" s="8" t="s">
        <v>1</v>
      </c>
      <c r="C184" s="2" t="s">
        <v>10</v>
      </c>
      <c r="D184" s="3"/>
      <c r="E184" s="3"/>
      <c r="F184" s="2">
        <v>2</v>
      </c>
      <c r="G184" s="2">
        <v>12</v>
      </c>
      <c r="H184" s="2">
        <v>11</v>
      </c>
      <c r="I184" s="2">
        <v>5</v>
      </c>
      <c r="J184" s="2">
        <v>0</v>
      </c>
      <c r="K184" s="2">
        <v>0</v>
      </c>
      <c r="L184" s="17">
        <f t="shared" si="9"/>
        <v>0</v>
      </c>
      <c r="M184" s="2">
        <f t="shared" si="12"/>
        <v>0</v>
      </c>
      <c r="N184" s="17">
        <f t="shared" si="10"/>
        <v>0</v>
      </c>
    </row>
    <row r="185" spans="1:21" x14ac:dyDescent="0.25">
      <c r="A185" s="6">
        <v>24</v>
      </c>
      <c r="B185" s="1" t="s">
        <v>1</v>
      </c>
      <c r="C185" s="5" t="s">
        <v>6</v>
      </c>
      <c r="D185" s="3" t="s">
        <v>50</v>
      </c>
      <c r="E185" s="3"/>
      <c r="F185" s="2">
        <v>3</v>
      </c>
      <c r="G185" s="2">
        <v>8</v>
      </c>
      <c r="H185" s="2">
        <v>15</v>
      </c>
      <c r="I185" s="2">
        <v>5</v>
      </c>
      <c r="J185" s="2">
        <v>0</v>
      </c>
      <c r="K185" s="2">
        <v>0</v>
      </c>
      <c r="L185" s="17">
        <f t="shared" si="9"/>
        <v>0</v>
      </c>
      <c r="M185" s="2">
        <f t="shared" si="12"/>
        <v>0</v>
      </c>
      <c r="N185" s="17">
        <f t="shared" si="10"/>
        <v>0</v>
      </c>
    </row>
    <row r="186" spans="1:21" x14ac:dyDescent="0.25">
      <c r="A186" s="6">
        <v>25</v>
      </c>
      <c r="B186" s="1" t="s">
        <v>1</v>
      </c>
      <c r="C186" s="5" t="s">
        <v>10</v>
      </c>
      <c r="D186" s="3"/>
      <c r="E186" s="3"/>
      <c r="F186" s="2">
        <v>2</v>
      </c>
      <c r="G186" s="2">
        <v>12</v>
      </c>
      <c r="H186" s="2">
        <v>11</v>
      </c>
      <c r="I186" s="2">
        <v>5</v>
      </c>
      <c r="J186" s="2">
        <v>2</v>
      </c>
      <c r="K186" s="2">
        <v>0</v>
      </c>
      <c r="L186" s="17">
        <f t="shared" si="9"/>
        <v>0</v>
      </c>
      <c r="M186" s="2">
        <f t="shared" si="12"/>
        <v>0</v>
      </c>
      <c r="N186" s="17">
        <f t="shared" si="10"/>
        <v>0</v>
      </c>
    </row>
    <row r="187" spans="1:21" x14ac:dyDescent="0.25">
      <c r="A187" s="6">
        <v>27</v>
      </c>
      <c r="B187" s="8" t="s">
        <v>23</v>
      </c>
      <c r="C187" s="5" t="s">
        <v>26</v>
      </c>
      <c r="D187" s="3" t="s">
        <v>94</v>
      </c>
      <c r="E187" s="3"/>
      <c r="F187" s="2">
        <v>7</v>
      </c>
      <c r="G187" s="2">
        <v>27</v>
      </c>
      <c r="H187" s="2">
        <v>21</v>
      </c>
      <c r="I187" s="2">
        <v>4</v>
      </c>
      <c r="J187" s="2">
        <v>4</v>
      </c>
      <c r="K187" s="2">
        <v>0</v>
      </c>
      <c r="L187" s="17">
        <f t="shared" si="9"/>
        <v>0</v>
      </c>
      <c r="M187" s="2">
        <f t="shared" si="12"/>
        <v>0</v>
      </c>
      <c r="N187" s="17">
        <f t="shared" si="10"/>
        <v>0</v>
      </c>
    </row>
    <row r="188" spans="1:21" x14ac:dyDescent="0.25">
      <c r="A188" s="6">
        <v>112</v>
      </c>
      <c r="B188" s="8" t="s">
        <v>3</v>
      </c>
      <c r="C188" s="5" t="s">
        <v>193</v>
      </c>
      <c r="D188" s="3" t="s">
        <v>192</v>
      </c>
      <c r="E188" s="3"/>
      <c r="F188" s="2"/>
      <c r="G188" s="2"/>
      <c r="H188" s="2"/>
      <c r="I188" s="2"/>
      <c r="J188" s="2">
        <v>2</v>
      </c>
      <c r="K188" s="2">
        <v>2</v>
      </c>
      <c r="L188" s="17">
        <f t="shared" si="9"/>
        <v>2.8522532800912718E-2</v>
      </c>
      <c r="M188" s="2">
        <f t="shared" si="12"/>
        <v>0</v>
      </c>
      <c r="N188" s="17">
        <f t="shared" si="10"/>
        <v>0</v>
      </c>
    </row>
    <row r="189" spans="1:21" x14ac:dyDescent="0.25">
      <c r="A189" s="6">
        <v>33</v>
      </c>
      <c r="B189" s="8" t="s">
        <v>12</v>
      </c>
      <c r="C189" s="5" t="s">
        <v>13</v>
      </c>
      <c r="D189" s="3" t="s">
        <v>100</v>
      </c>
      <c r="E189" s="3"/>
      <c r="F189" s="2">
        <v>1</v>
      </c>
      <c r="G189" s="2">
        <v>14</v>
      </c>
      <c r="H189" s="2">
        <v>6</v>
      </c>
      <c r="I189" s="2">
        <v>3</v>
      </c>
      <c r="J189" s="2">
        <v>9</v>
      </c>
      <c r="K189" s="2">
        <v>7</v>
      </c>
      <c r="L189" s="17">
        <f t="shared" si="9"/>
        <v>9.9828864803194528E-2</v>
      </c>
      <c r="M189" s="2">
        <f t="shared" si="12"/>
        <v>0</v>
      </c>
      <c r="N189" s="17">
        <f t="shared" si="10"/>
        <v>0</v>
      </c>
    </row>
    <row r="190" spans="1:21" x14ac:dyDescent="0.25">
      <c r="A190" s="6">
        <v>34</v>
      </c>
      <c r="B190" s="8" t="s">
        <v>14</v>
      </c>
      <c r="C190" s="5" t="s">
        <v>6</v>
      </c>
      <c r="D190" s="3" t="s">
        <v>17</v>
      </c>
      <c r="E190" s="3"/>
      <c r="F190" s="2">
        <v>6</v>
      </c>
      <c r="G190" s="2">
        <v>1</v>
      </c>
      <c r="H190" s="2">
        <v>16</v>
      </c>
      <c r="I190" s="2">
        <v>3</v>
      </c>
      <c r="J190" s="2">
        <v>1</v>
      </c>
      <c r="K190" s="2">
        <v>0</v>
      </c>
      <c r="L190" s="17">
        <f t="shared" si="9"/>
        <v>0</v>
      </c>
      <c r="M190" s="2">
        <f t="shared" si="12"/>
        <v>0</v>
      </c>
      <c r="N190" s="17">
        <f t="shared" si="10"/>
        <v>0</v>
      </c>
    </row>
    <row r="191" spans="1:21" x14ac:dyDescent="0.25">
      <c r="A191" s="6">
        <v>35</v>
      </c>
      <c r="B191" s="3" t="s">
        <v>0</v>
      </c>
      <c r="C191" s="5" t="s">
        <v>6</v>
      </c>
      <c r="D191" s="3" t="s">
        <v>17</v>
      </c>
      <c r="E191" s="3"/>
      <c r="F191" s="2">
        <v>0</v>
      </c>
      <c r="G191" s="2">
        <v>2</v>
      </c>
      <c r="H191" s="2">
        <v>8</v>
      </c>
      <c r="I191" s="2">
        <v>3</v>
      </c>
      <c r="J191" s="2">
        <v>0</v>
      </c>
      <c r="K191" s="2">
        <v>1</v>
      </c>
      <c r="L191" s="17">
        <f t="shared" si="9"/>
        <v>1.4261266400456359E-2</v>
      </c>
      <c r="M191" s="2">
        <f t="shared" si="12"/>
        <v>0</v>
      </c>
      <c r="N191" s="17">
        <f t="shared" si="10"/>
        <v>0</v>
      </c>
    </row>
    <row r="192" spans="1:21" x14ac:dyDescent="0.25">
      <c r="A192" s="6">
        <v>36</v>
      </c>
      <c r="B192" s="8" t="s">
        <v>0</v>
      </c>
      <c r="C192" s="5" t="s">
        <v>6</v>
      </c>
      <c r="D192" s="3" t="s">
        <v>60</v>
      </c>
      <c r="E192" s="3"/>
      <c r="F192" s="2">
        <v>7</v>
      </c>
      <c r="G192" s="2">
        <v>10</v>
      </c>
      <c r="H192" s="2">
        <v>11</v>
      </c>
      <c r="I192" s="2">
        <v>3</v>
      </c>
      <c r="J192" s="2">
        <v>3</v>
      </c>
      <c r="K192" s="2">
        <v>1</v>
      </c>
      <c r="L192" s="17">
        <f t="shared" si="9"/>
        <v>1.4261266400456359E-2</v>
      </c>
      <c r="M192" s="2">
        <f t="shared" si="12"/>
        <v>0</v>
      </c>
      <c r="N192" s="17">
        <f t="shared" si="10"/>
        <v>0</v>
      </c>
    </row>
    <row r="193" spans="1:15" x14ac:dyDescent="0.25">
      <c r="A193" s="6">
        <v>38</v>
      </c>
      <c r="B193" s="8" t="s">
        <v>80</v>
      </c>
      <c r="C193" s="5" t="s">
        <v>62</v>
      </c>
      <c r="D193" s="3"/>
      <c r="E193" s="3"/>
      <c r="F193" s="2">
        <v>1</v>
      </c>
      <c r="G193" s="2">
        <v>11</v>
      </c>
      <c r="H193" s="2">
        <v>4</v>
      </c>
      <c r="I193" s="2">
        <v>3</v>
      </c>
      <c r="J193" s="2">
        <v>0</v>
      </c>
      <c r="K193" s="2">
        <v>0</v>
      </c>
      <c r="L193" s="17">
        <f t="shared" si="9"/>
        <v>0</v>
      </c>
      <c r="M193" s="2">
        <f t="shared" si="12"/>
        <v>0</v>
      </c>
      <c r="N193" s="17">
        <f t="shared" si="10"/>
        <v>0</v>
      </c>
    </row>
    <row r="194" spans="1:15" x14ac:dyDescent="0.25">
      <c r="A194" s="6">
        <v>43</v>
      </c>
      <c r="B194" s="8" t="s">
        <v>7</v>
      </c>
      <c r="C194" s="5" t="s">
        <v>35</v>
      </c>
      <c r="D194" s="3" t="s">
        <v>102</v>
      </c>
      <c r="E194" s="3"/>
      <c r="F194" s="2">
        <v>2</v>
      </c>
      <c r="G194" s="2">
        <v>11</v>
      </c>
      <c r="H194" s="2">
        <v>2</v>
      </c>
      <c r="I194" s="2">
        <v>2</v>
      </c>
      <c r="J194" s="2">
        <v>6</v>
      </c>
      <c r="K194" s="2">
        <v>5</v>
      </c>
      <c r="L194" s="17">
        <f t="shared" si="9"/>
        <v>7.13063320022818E-2</v>
      </c>
      <c r="M194" s="2">
        <f t="shared" si="12"/>
        <v>0</v>
      </c>
      <c r="N194" s="17">
        <f t="shared" si="10"/>
        <v>0</v>
      </c>
    </row>
    <row r="195" spans="1:15" x14ac:dyDescent="0.25">
      <c r="A195" s="6">
        <v>46</v>
      </c>
      <c r="B195" s="8" t="s">
        <v>80</v>
      </c>
      <c r="C195" s="5" t="s">
        <v>63</v>
      </c>
      <c r="D195" s="3"/>
      <c r="E195" s="3"/>
      <c r="F195" s="2">
        <v>1</v>
      </c>
      <c r="G195" s="2">
        <v>8</v>
      </c>
      <c r="H195" s="2">
        <v>5</v>
      </c>
      <c r="I195" s="2">
        <v>2</v>
      </c>
      <c r="J195" s="2">
        <v>0</v>
      </c>
      <c r="K195" s="2">
        <v>0</v>
      </c>
      <c r="L195" s="17">
        <f t="shared" ref="L195:L258" si="13">K195/7012*100</f>
        <v>0</v>
      </c>
      <c r="M195" s="2">
        <f t="shared" si="12"/>
        <v>0</v>
      </c>
      <c r="N195" s="17">
        <f t="shared" ref="N195:N258" si="14">M195/2700*100</f>
        <v>0</v>
      </c>
    </row>
    <row r="196" spans="1:15" x14ac:dyDescent="0.25">
      <c r="B196" s="8" t="s">
        <v>20</v>
      </c>
      <c r="C196" s="5" t="s">
        <v>6</v>
      </c>
      <c r="D196" s="3" t="s">
        <v>448</v>
      </c>
      <c r="E196" s="3"/>
      <c r="F196" s="2"/>
      <c r="K196" s="2">
        <v>3</v>
      </c>
      <c r="L196" s="17">
        <f t="shared" si="13"/>
        <v>4.2783799201369085E-2</v>
      </c>
      <c r="M196" s="2">
        <f t="shared" si="12"/>
        <v>0</v>
      </c>
      <c r="N196" s="17">
        <f t="shared" si="14"/>
        <v>0</v>
      </c>
    </row>
    <row r="197" spans="1:15" x14ac:dyDescent="0.25">
      <c r="A197" s="6">
        <v>49</v>
      </c>
      <c r="B197" s="8" t="s">
        <v>43</v>
      </c>
      <c r="C197" s="5" t="s">
        <v>115</v>
      </c>
      <c r="D197" s="3" t="s">
        <v>117</v>
      </c>
      <c r="E197" s="3"/>
      <c r="F197" s="2">
        <v>0</v>
      </c>
      <c r="G197" s="2">
        <v>0</v>
      </c>
      <c r="H197" s="2">
        <v>11</v>
      </c>
      <c r="I197" s="2">
        <v>2</v>
      </c>
      <c r="J197" s="2">
        <v>4</v>
      </c>
      <c r="K197" s="2">
        <v>5</v>
      </c>
      <c r="L197" s="17">
        <f t="shared" si="13"/>
        <v>7.13063320022818E-2</v>
      </c>
      <c r="M197" s="2">
        <f t="shared" si="12"/>
        <v>0</v>
      </c>
      <c r="N197" s="17">
        <f t="shared" si="14"/>
        <v>0</v>
      </c>
    </row>
    <row r="198" spans="1:15" x14ac:dyDescent="0.25">
      <c r="A198" s="6">
        <v>175</v>
      </c>
      <c r="B198" s="8" t="s">
        <v>3</v>
      </c>
      <c r="C198" s="5" t="s">
        <v>287</v>
      </c>
      <c r="D198" s="3" t="s">
        <v>286</v>
      </c>
      <c r="E198" s="3"/>
      <c r="J198" s="2">
        <v>1</v>
      </c>
      <c r="K198" s="2">
        <v>1</v>
      </c>
      <c r="L198" s="17">
        <f t="shared" si="13"/>
        <v>1.4261266400456359E-2</v>
      </c>
      <c r="M198" s="2">
        <f t="shared" si="12"/>
        <v>0</v>
      </c>
      <c r="N198" s="17">
        <f t="shared" si="14"/>
        <v>0</v>
      </c>
    </row>
    <row r="199" spans="1:15" x14ac:dyDescent="0.25">
      <c r="A199" s="6">
        <v>233</v>
      </c>
      <c r="B199" s="8" t="s">
        <v>5</v>
      </c>
      <c r="C199" s="5" t="s">
        <v>377</v>
      </c>
      <c r="D199" s="3" t="s">
        <v>376</v>
      </c>
      <c r="E199" s="3"/>
      <c r="F199" s="2"/>
      <c r="J199" s="2">
        <v>1</v>
      </c>
      <c r="K199" s="2">
        <v>2</v>
      </c>
      <c r="L199" s="17">
        <f t="shared" si="13"/>
        <v>2.8522532800912718E-2</v>
      </c>
      <c r="M199" s="2">
        <f t="shared" si="12"/>
        <v>0</v>
      </c>
      <c r="N199" s="17">
        <f t="shared" si="14"/>
        <v>0</v>
      </c>
    </row>
    <row r="200" spans="1:15" x14ac:dyDescent="0.25">
      <c r="A200" s="6">
        <v>59</v>
      </c>
      <c r="B200" s="1" t="s">
        <v>23</v>
      </c>
      <c r="C200" s="5" t="s">
        <v>42</v>
      </c>
      <c r="D200" s="3"/>
      <c r="E200" s="3"/>
      <c r="F200" s="2">
        <v>2</v>
      </c>
      <c r="G200" s="2">
        <v>10</v>
      </c>
      <c r="H200" s="2">
        <v>3</v>
      </c>
      <c r="I200" s="2">
        <v>1</v>
      </c>
      <c r="J200" s="2">
        <v>0</v>
      </c>
      <c r="K200" s="2">
        <v>0</v>
      </c>
      <c r="L200" s="17">
        <f t="shared" si="13"/>
        <v>0</v>
      </c>
      <c r="M200" s="2">
        <f t="shared" si="12"/>
        <v>0</v>
      </c>
      <c r="N200" s="17">
        <f t="shared" si="14"/>
        <v>0</v>
      </c>
    </row>
    <row r="201" spans="1:15" x14ac:dyDescent="0.25">
      <c r="A201" s="6">
        <v>60</v>
      </c>
      <c r="B201" s="1" t="s">
        <v>1</v>
      </c>
      <c r="C201" s="5" t="s">
        <v>2</v>
      </c>
      <c r="D201" s="3" t="s">
        <v>120</v>
      </c>
      <c r="E201" s="3"/>
      <c r="F201" s="2">
        <v>5</v>
      </c>
      <c r="G201" s="2">
        <v>10</v>
      </c>
      <c r="H201" s="2">
        <v>10</v>
      </c>
      <c r="I201" s="2">
        <v>1</v>
      </c>
      <c r="J201" s="2">
        <v>1</v>
      </c>
      <c r="K201" s="2">
        <v>2</v>
      </c>
      <c r="L201" s="17">
        <f t="shared" si="13"/>
        <v>2.8522532800912718E-2</v>
      </c>
      <c r="M201" s="2">
        <f t="shared" si="12"/>
        <v>0</v>
      </c>
      <c r="N201" s="17">
        <f t="shared" si="14"/>
        <v>0</v>
      </c>
    </row>
    <row r="202" spans="1:15" x14ac:dyDescent="0.25">
      <c r="A202" s="6">
        <v>66</v>
      </c>
      <c r="B202" s="8" t="s">
        <v>43</v>
      </c>
      <c r="C202" s="5" t="s">
        <v>101</v>
      </c>
      <c r="D202" s="3" t="s">
        <v>106</v>
      </c>
      <c r="E202" s="3"/>
      <c r="F202" s="2">
        <v>0</v>
      </c>
      <c r="G202" s="2">
        <v>10</v>
      </c>
      <c r="H202" s="2">
        <v>2</v>
      </c>
      <c r="I202" s="2">
        <v>0</v>
      </c>
      <c r="J202" s="2">
        <v>1</v>
      </c>
      <c r="K202" s="2">
        <v>3</v>
      </c>
      <c r="L202" s="17">
        <f t="shared" si="13"/>
        <v>4.2783799201369085E-2</v>
      </c>
      <c r="M202" s="2">
        <f t="shared" si="12"/>
        <v>0</v>
      </c>
      <c r="N202" s="17">
        <f t="shared" si="14"/>
        <v>0</v>
      </c>
    </row>
    <row r="203" spans="1:15" x14ac:dyDescent="0.25">
      <c r="A203" s="6">
        <v>67</v>
      </c>
      <c r="B203" s="8" t="s">
        <v>43</v>
      </c>
      <c r="C203" s="5" t="s">
        <v>64</v>
      </c>
      <c r="D203" s="3" t="s">
        <v>103</v>
      </c>
      <c r="E203" s="3"/>
      <c r="F203" s="2">
        <v>1</v>
      </c>
      <c r="G203" s="2">
        <v>7</v>
      </c>
      <c r="H203" s="2">
        <v>7</v>
      </c>
      <c r="I203" s="2">
        <v>0</v>
      </c>
      <c r="J203" s="2">
        <v>5</v>
      </c>
      <c r="K203" s="2">
        <v>9</v>
      </c>
      <c r="L203" s="17">
        <f t="shared" si="13"/>
        <v>0.12835139760410724</v>
      </c>
      <c r="M203" s="2">
        <f t="shared" si="12"/>
        <v>0</v>
      </c>
      <c r="N203" s="17">
        <f t="shared" si="14"/>
        <v>0</v>
      </c>
    </row>
    <row r="204" spans="1:15" x14ac:dyDescent="0.25">
      <c r="A204" s="6">
        <v>68</v>
      </c>
      <c r="B204" s="1" t="s">
        <v>1</v>
      </c>
      <c r="C204" s="5" t="s">
        <v>11</v>
      </c>
      <c r="D204" s="3"/>
      <c r="E204" s="3"/>
      <c r="F204" s="2">
        <v>4</v>
      </c>
      <c r="G204" s="2">
        <v>11</v>
      </c>
      <c r="H204" s="2">
        <v>9</v>
      </c>
      <c r="I204" s="2">
        <v>0</v>
      </c>
      <c r="J204" s="2">
        <v>0</v>
      </c>
      <c r="K204" s="2">
        <v>0</v>
      </c>
      <c r="L204" s="17">
        <f t="shared" si="13"/>
        <v>0</v>
      </c>
      <c r="M204" s="2">
        <f t="shared" si="12"/>
        <v>0</v>
      </c>
      <c r="N204" s="17">
        <f t="shared" si="14"/>
        <v>0</v>
      </c>
    </row>
    <row r="205" spans="1:15" x14ac:dyDescent="0.25">
      <c r="A205" s="6">
        <v>78</v>
      </c>
      <c r="B205" s="8" t="s">
        <v>12</v>
      </c>
      <c r="C205" s="5" t="s">
        <v>140</v>
      </c>
      <c r="D205" s="3" t="s">
        <v>141</v>
      </c>
      <c r="E205" s="3"/>
      <c r="F205" s="2"/>
      <c r="G205" s="2"/>
      <c r="H205" s="2"/>
      <c r="I205" s="2"/>
      <c r="J205" s="2">
        <v>3</v>
      </c>
      <c r="K205" s="2">
        <v>0</v>
      </c>
      <c r="L205" s="17">
        <f t="shared" si="13"/>
        <v>0</v>
      </c>
      <c r="M205" s="2">
        <f t="shared" si="12"/>
        <v>0</v>
      </c>
      <c r="N205" s="17">
        <f t="shared" si="14"/>
        <v>0</v>
      </c>
    </row>
    <row r="206" spans="1:15" x14ac:dyDescent="0.25">
      <c r="A206" s="6">
        <v>79</v>
      </c>
      <c r="B206" s="1" t="s">
        <v>1</v>
      </c>
      <c r="C206" s="5" t="s">
        <v>142</v>
      </c>
      <c r="D206" s="3" t="s">
        <v>143</v>
      </c>
      <c r="E206" s="3"/>
      <c r="F206" s="2"/>
      <c r="G206" s="2"/>
      <c r="H206" s="2"/>
      <c r="I206" s="2"/>
      <c r="J206" s="2">
        <v>9</v>
      </c>
      <c r="K206" s="2">
        <v>7</v>
      </c>
      <c r="L206" s="17">
        <f t="shared" si="13"/>
        <v>9.9828864803194528E-2</v>
      </c>
      <c r="M206" s="2">
        <f t="shared" si="12"/>
        <v>0</v>
      </c>
      <c r="N206" s="17">
        <f t="shared" si="14"/>
        <v>0</v>
      </c>
    </row>
    <row r="207" spans="1:15" x14ac:dyDescent="0.25">
      <c r="A207" s="6">
        <v>80</v>
      </c>
      <c r="B207" s="1" t="s">
        <v>23</v>
      </c>
      <c r="C207" s="5" t="s">
        <v>40</v>
      </c>
      <c r="D207" s="3" t="s">
        <v>144</v>
      </c>
      <c r="E207" s="3"/>
      <c r="F207" s="2"/>
      <c r="G207" s="2"/>
      <c r="H207" s="2"/>
      <c r="I207" s="2"/>
      <c r="J207" s="2">
        <v>5</v>
      </c>
      <c r="K207" s="2">
        <v>4</v>
      </c>
      <c r="L207" s="17">
        <f t="shared" si="13"/>
        <v>5.7045065601825436E-2</v>
      </c>
      <c r="M207" s="2">
        <f t="shared" si="12"/>
        <v>0</v>
      </c>
      <c r="N207" s="17">
        <f t="shared" si="14"/>
        <v>0</v>
      </c>
    </row>
    <row r="208" spans="1:15" x14ac:dyDescent="0.25">
      <c r="A208" s="6">
        <v>88</v>
      </c>
      <c r="B208" s="1" t="s">
        <v>23</v>
      </c>
      <c r="C208" s="5" t="s">
        <v>51</v>
      </c>
      <c r="D208" s="3" t="s">
        <v>119</v>
      </c>
      <c r="E208" s="3"/>
      <c r="F208" s="2"/>
      <c r="G208" s="2"/>
      <c r="H208" s="2"/>
      <c r="I208" s="2"/>
      <c r="J208" s="2">
        <v>2</v>
      </c>
      <c r="K208" s="2">
        <v>0</v>
      </c>
      <c r="L208" s="17">
        <f t="shared" si="13"/>
        <v>0</v>
      </c>
      <c r="M208" s="2">
        <f t="shared" si="12"/>
        <v>0</v>
      </c>
      <c r="N208" s="17">
        <f t="shared" si="14"/>
        <v>0</v>
      </c>
      <c r="O208" s="6" t="s">
        <v>484</v>
      </c>
    </row>
    <row r="209" spans="1:14" x14ac:dyDescent="0.25">
      <c r="A209" s="6">
        <v>92</v>
      </c>
      <c r="B209" s="8" t="s">
        <v>12</v>
      </c>
      <c r="C209" s="5" t="s">
        <v>162</v>
      </c>
      <c r="D209" s="3" t="s">
        <v>163</v>
      </c>
      <c r="E209" s="3"/>
      <c r="F209" s="2"/>
      <c r="G209" s="2"/>
      <c r="H209" s="2"/>
      <c r="I209" s="2"/>
      <c r="J209" s="2">
        <v>3</v>
      </c>
      <c r="K209" s="2">
        <v>0</v>
      </c>
      <c r="L209" s="17">
        <f t="shared" si="13"/>
        <v>0</v>
      </c>
      <c r="M209" s="2">
        <f t="shared" si="12"/>
        <v>0</v>
      </c>
      <c r="N209" s="17">
        <f t="shared" si="14"/>
        <v>0</v>
      </c>
    </row>
    <row r="210" spans="1:14" x14ac:dyDescent="0.25">
      <c r="A210" s="6">
        <v>94</v>
      </c>
      <c r="B210" s="8" t="s">
        <v>137</v>
      </c>
      <c r="C210" s="5" t="s">
        <v>6</v>
      </c>
      <c r="D210" s="3" t="s">
        <v>166</v>
      </c>
      <c r="E210" s="3"/>
      <c r="F210" s="2"/>
      <c r="G210" s="2"/>
      <c r="H210" s="2"/>
      <c r="I210" s="2"/>
      <c r="J210" s="2">
        <v>4</v>
      </c>
      <c r="K210" s="2">
        <v>1</v>
      </c>
      <c r="L210" s="17">
        <f t="shared" si="13"/>
        <v>1.4261266400456359E-2</v>
      </c>
      <c r="M210" s="2">
        <f t="shared" si="12"/>
        <v>0</v>
      </c>
      <c r="N210" s="17">
        <f t="shared" si="14"/>
        <v>0</v>
      </c>
    </row>
    <row r="211" spans="1:14" x14ac:dyDescent="0.25">
      <c r="A211" s="6">
        <v>95</v>
      </c>
      <c r="J211" s="2">
        <v>0</v>
      </c>
      <c r="K211" s="2">
        <v>0</v>
      </c>
      <c r="L211" s="17">
        <f t="shared" si="13"/>
        <v>0</v>
      </c>
      <c r="M211" s="2">
        <f t="shared" si="12"/>
        <v>0</v>
      </c>
      <c r="N211" s="17">
        <f t="shared" si="14"/>
        <v>0</v>
      </c>
    </row>
    <row r="212" spans="1:14" x14ac:dyDescent="0.25">
      <c r="A212" s="6">
        <v>98</v>
      </c>
      <c r="B212" s="8" t="s">
        <v>14</v>
      </c>
      <c r="C212" s="5" t="s">
        <v>170</v>
      </c>
      <c r="D212" s="3" t="s">
        <v>171</v>
      </c>
      <c r="E212" s="3"/>
      <c r="F212" s="2"/>
      <c r="G212" s="2"/>
      <c r="H212" s="2"/>
      <c r="I212" s="2"/>
      <c r="J212" s="2">
        <v>3</v>
      </c>
      <c r="K212" s="2">
        <v>4</v>
      </c>
      <c r="L212" s="17">
        <f t="shared" si="13"/>
        <v>5.7045065601825436E-2</v>
      </c>
      <c r="M212" s="2">
        <f t="shared" si="12"/>
        <v>0</v>
      </c>
      <c r="N212" s="17">
        <f t="shared" si="14"/>
        <v>0</v>
      </c>
    </row>
    <row r="213" spans="1:14" x14ac:dyDescent="0.25">
      <c r="A213" s="6">
        <v>101</v>
      </c>
      <c r="B213" s="8" t="s">
        <v>12</v>
      </c>
      <c r="C213" s="5" t="s">
        <v>140</v>
      </c>
      <c r="D213" s="3" t="s">
        <v>175</v>
      </c>
      <c r="E213" s="3"/>
      <c r="F213" s="2"/>
      <c r="G213" s="2"/>
      <c r="H213" s="2"/>
      <c r="I213" s="2"/>
      <c r="J213" s="2">
        <v>2</v>
      </c>
      <c r="K213" s="2">
        <v>1</v>
      </c>
      <c r="L213" s="17">
        <f t="shared" si="13"/>
        <v>1.4261266400456359E-2</v>
      </c>
      <c r="M213" s="2">
        <f t="shared" ref="M213:M244" si="15">SUM(O213:AP213)</f>
        <v>0</v>
      </c>
      <c r="N213" s="17">
        <f t="shared" si="14"/>
        <v>0</v>
      </c>
    </row>
    <row r="214" spans="1:14" x14ac:dyDescent="0.25">
      <c r="A214" s="6">
        <v>102</v>
      </c>
      <c r="B214" s="8" t="s">
        <v>176</v>
      </c>
      <c r="C214" s="5" t="s">
        <v>177</v>
      </c>
      <c r="D214" s="3" t="s">
        <v>178</v>
      </c>
      <c r="E214" s="3"/>
      <c r="F214" s="2"/>
      <c r="G214" s="2"/>
      <c r="H214" s="2"/>
      <c r="I214" s="2"/>
      <c r="J214" s="2">
        <v>3</v>
      </c>
      <c r="K214" s="2">
        <v>2</v>
      </c>
      <c r="L214" s="17">
        <f t="shared" si="13"/>
        <v>2.8522532800912718E-2</v>
      </c>
      <c r="M214" s="2">
        <f t="shared" si="15"/>
        <v>0</v>
      </c>
      <c r="N214" s="17">
        <f t="shared" si="14"/>
        <v>0</v>
      </c>
    </row>
    <row r="215" spans="1:14" x14ac:dyDescent="0.25">
      <c r="B215" s="8" t="s">
        <v>20</v>
      </c>
      <c r="C215" s="5" t="s">
        <v>434</v>
      </c>
      <c r="D215" s="3" t="s">
        <v>433</v>
      </c>
      <c r="E215" s="3"/>
      <c r="F215" s="2"/>
      <c r="K215" s="2">
        <v>1</v>
      </c>
      <c r="L215" s="17">
        <f t="shared" si="13"/>
        <v>1.4261266400456359E-2</v>
      </c>
      <c r="M215" s="2">
        <f t="shared" si="15"/>
        <v>0</v>
      </c>
      <c r="N215" s="17">
        <f t="shared" si="14"/>
        <v>0</v>
      </c>
    </row>
    <row r="216" spans="1:14" x14ac:dyDescent="0.25">
      <c r="A216" s="6">
        <v>195</v>
      </c>
      <c r="B216" s="8" t="s">
        <v>20</v>
      </c>
      <c r="C216" s="5" t="s">
        <v>315</v>
      </c>
      <c r="D216" s="3" t="s">
        <v>314</v>
      </c>
      <c r="E216" s="3"/>
      <c r="F216" s="2"/>
      <c r="J216" s="2">
        <v>6</v>
      </c>
      <c r="K216" s="2">
        <v>15</v>
      </c>
      <c r="L216" s="17">
        <f t="shared" si="13"/>
        <v>0.21391899600684541</v>
      </c>
      <c r="M216" s="2">
        <f t="shared" si="15"/>
        <v>0</v>
      </c>
      <c r="N216" s="17">
        <f t="shared" si="14"/>
        <v>0</v>
      </c>
    </row>
    <row r="217" spans="1:14" x14ac:dyDescent="0.25">
      <c r="A217" s="6">
        <v>110</v>
      </c>
      <c r="B217" s="8" t="s">
        <v>12</v>
      </c>
      <c r="C217" s="5" t="s">
        <v>189</v>
      </c>
      <c r="D217" s="3" t="s">
        <v>188</v>
      </c>
      <c r="E217" s="3"/>
      <c r="F217" s="2"/>
      <c r="G217" s="2"/>
      <c r="H217" s="2"/>
      <c r="I217" s="2"/>
      <c r="J217" s="2">
        <v>1</v>
      </c>
      <c r="K217" s="2">
        <v>1</v>
      </c>
      <c r="L217" s="17">
        <f t="shared" si="13"/>
        <v>1.4261266400456359E-2</v>
      </c>
      <c r="M217" s="2">
        <f t="shared" si="15"/>
        <v>0</v>
      </c>
      <c r="N217" s="17">
        <f t="shared" si="14"/>
        <v>0</v>
      </c>
    </row>
    <row r="218" spans="1:14" x14ac:dyDescent="0.25">
      <c r="A218" s="6">
        <v>111</v>
      </c>
      <c r="B218" s="8" t="s">
        <v>12</v>
      </c>
      <c r="C218" s="5" t="s">
        <v>190</v>
      </c>
      <c r="D218" s="3" t="s">
        <v>191</v>
      </c>
      <c r="E218" s="3"/>
      <c r="F218" s="2"/>
      <c r="G218" s="2"/>
      <c r="H218" s="2"/>
      <c r="I218" s="2"/>
      <c r="J218" s="2">
        <v>1</v>
      </c>
      <c r="K218" s="2">
        <v>1</v>
      </c>
      <c r="L218" s="17">
        <f t="shared" si="13"/>
        <v>1.4261266400456359E-2</v>
      </c>
      <c r="M218" s="2">
        <f t="shared" si="15"/>
        <v>0</v>
      </c>
      <c r="N218" s="17">
        <f t="shared" si="14"/>
        <v>0</v>
      </c>
    </row>
    <row r="219" spans="1:14" x14ac:dyDescent="0.25">
      <c r="B219" s="8" t="s">
        <v>3</v>
      </c>
      <c r="C219" s="5" t="s">
        <v>472</v>
      </c>
      <c r="D219" s="3" t="s">
        <v>471</v>
      </c>
      <c r="E219" s="3"/>
      <c r="F219" s="2"/>
      <c r="K219" s="2">
        <v>2</v>
      </c>
      <c r="L219" s="17">
        <f t="shared" si="13"/>
        <v>2.8522532800912718E-2</v>
      </c>
      <c r="M219" s="2">
        <f t="shared" si="15"/>
        <v>0</v>
      </c>
      <c r="N219" s="17">
        <f t="shared" si="14"/>
        <v>0</v>
      </c>
    </row>
    <row r="220" spans="1:14" x14ac:dyDescent="0.25">
      <c r="A220" s="6">
        <v>121</v>
      </c>
      <c r="B220" s="1" t="s">
        <v>1</v>
      </c>
      <c r="C220" s="5" t="s">
        <v>63</v>
      </c>
      <c r="D220" s="3" t="s">
        <v>206</v>
      </c>
      <c r="E220" s="3"/>
      <c r="F220" s="2"/>
      <c r="G220" s="2"/>
      <c r="H220" s="2"/>
      <c r="I220" s="2"/>
      <c r="J220" s="2">
        <v>5</v>
      </c>
      <c r="K220" s="2">
        <v>0</v>
      </c>
      <c r="L220" s="17">
        <f t="shared" si="13"/>
        <v>0</v>
      </c>
      <c r="M220" s="2">
        <f t="shared" si="15"/>
        <v>0</v>
      </c>
      <c r="N220" s="17">
        <f t="shared" si="14"/>
        <v>0</v>
      </c>
    </row>
    <row r="221" spans="1:14" x14ac:dyDescent="0.25">
      <c r="A221" s="6">
        <v>122</v>
      </c>
      <c r="B221" s="1" t="s">
        <v>1</v>
      </c>
      <c r="C221" s="5" t="s">
        <v>208</v>
      </c>
      <c r="D221" s="3" t="s">
        <v>207</v>
      </c>
      <c r="E221" s="3"/>
      <c r="F221" s="2"/>
      <c r="G221" s="2"/>
      <c r="H221" s="2"/>
      <c r="I221" s="2"/>
      <c r="J221" s="2">
        <v>1</v>
      </c>
      <c r="K221" s="2">
        <v>0</v>
      </c>
      <c r="L221" s="17">
        <f t="shared" si="13"/>
        <v>0</v>
      </c>
      <c r="M221" s="2">
        <f t="shared" si="15"/>
        <v>0</v>
      </c>
      <c r="N221" s="17">
        <f t="shared" si="14"/>
        <v>0</v>
      </c>
    </row>
    <row r="222" spans="1:14" x14ac:dyDescent="0.25">
      <c r="B222" s="8" t="s">
        <v>5</v>
      </c>
      <c r="C222" s="5" t="s">
        <v>465</v>
      </c>
      <c r="D222" s="3" t="s">
        <v>464</v>
      </c>
      <c r="E222" s="3"/>
      <c r="F222" s="2"/>
      <c r="K222" s="2">
        <v>1</v>
      </c>
      <c r="L222" s="17">
        <f t="shared" si="13"/>
        <v>1.4261266400456359E-2</v>
      </c>
      <c r="M222" s="2">
        <f t="shared" si="15"/>
        <v>0</v>
      </c>
      <c r="N222" s="17">
        <f t="shared" si="14"/>
        <v>0</v>
      </c>
    </row>
    <row r="223" spans="1:14" x14ac:dyDescent="0.25">
      <c r="A223" s="6">
        <v>126</v>
      </c>
      <c r="B223" s="8" t="s">
        <v>30</v>
      </c>
      <c r="C223" s="5" t="s">
        <v>216</v>
      </c>
      <c r="D223" s="3" t="s">
        <v>215</v>
      </c>
      <c r="E223" s="3"/>
      <c r="F223" s="2"/>
      <c r="G223" s="2"/>
      <c r="H223" s="2"/>
      <c r="I223" s="2"/>
      <c r="J223" s="2">
        <v>1</v>
      </c>
      <c r="K223" s="2">
        <v>0</v>
      </c>
      <c r="L223" s="17">
        <f t="shared" si="13"/>
        <v>0</v>
      </c>
      <c r="M223" s="2">
        <f t="shared" si="15"/>
        <v>0</v>
      </c>
      <c r="N223" s="17">
        <f t="shared" si="14"/>
        <v>0</v>
      </c>
    </row>
    <row r="224" spans="1:14" x14ac:dyDescent="0.25">
      <c r="A224" s="6">
        <v>128</v>
      </c>
      <c r="B224" s="8" t="s">
        <v>7</v>
      </c>
      <c r="C224" s="5" t="s">
        <v>220</v>
      </c>
      <c r="D224" s="3" t="s">
        <v>219</v>
      </c>
      <c r="E224" s="3"/>
      <c r="F224" s="2"/>
      <c r="G224" s="2"/>
      <c r="H224" s="2"/>
      <c r="I224" s="2"/>
      <c r="J224" s="2">
        <v>3</v>
      </c>
      <c r="K224" s="2">
        <v>8</v>
      </c>
      <c r="L224" s="17">
        <f t="shared" si="13"/>
        <v>0.11409013120365087</v>
      </c>
      <c r="M224" s="2">
        <f t="shared" si="15"/>
        <v>0</v>
      </c>
      <c r="N224" s="17">
        <f t="shared" si="14"/>
        <v>0</v>
      </c>
    </row>
    <row r="225" spans="1:14" x14ac:dyDescent="0.25">
      <c r="A225" s="6">
        <v>187</v>
      </c>
      <c r="B225" s="8" t="s">
        <v>5</v>
      </c>
      <c r="C225" s="5" t="s">
        <v>301</v>
      </c>
      <c r="D225" s="3" t="s">
        <v>300</v>
      </c>
      <c r="E225" s="3"/>
      <c r="F225" s="2"/>
      <c r="J225" s="2">
        <v>5</v>
      </c>
      <c r="K225" s="2">
        <v>7</v>
      </c>
      <c r="L225" s="17">
        <f t="shared" si="13"/>
        <v>9.9828864803194528E-2</v>
      </c>
      <c r="M225" s="2">
        <f t="shared" si="15"/>
        <v>0</v>
      </c>
      <c r="N225" s="17">
        <f t="shared" si="14"/>
        <v>0</v>
      </c>
    </row>
    <row r="226" spans="1:14" x14ac:dyDescent="0.25">
      <c r="A226" s="6">
        <v>130</v>
      </c>
      <c r="B226" s="8" t="s">
        <v>223</v>
      </c>
      <c r="C226" s="5" t="s">
        <v>224</v>
      </c>
      <c r="D226" s="3" t="s">
        <v>225</v>
      </c>
      <c r="E226" s="3"/>
      <c r="F226" s="2"/>
      <c r="G226" s="2"/>
      <c r="H226" s="2"/>
      <c r="I226" s="2"/>
      <c r="J226" s="2">
        <v>2</v>
      </c>
      <c r="K226" s="2">
        <v>2</v>
      </c>
      <c r="L226" s="17">
        <f t="shared" si="13"/>
        <v>2.8522532800912718E-2</v>
      </c>
      <c r="M226" s="2">
        <f t="shared" si="15"/>
        <v>0</v>
      </c>
      <c r="N226" s="17">
        <f t="shared" si="14"/>
        <v>0</v>
      </c>
    </row>
    <row r="227" spans="1:14" x14ac:dyDescent="0.25">
      <c r="B227" s="8" t="s">
        <v>5</v>
      </c>
      <c r="C227" s="5" t="s">
        <v>6</v>
      </c>
      <c r="D227" s="3" t="s">
        <v>453</v>
      </c>
      <c r="E227" s="3"/>
      <c r="F227" s="2"/>
      <c r="K227" s="2">
        <v>1</v>
      </c>
      <c r="L227" s="17">
        <f t="shared" si="13"/>
        <v>1.4261266400456359E-2</v>
      </c>
      <c r="M227" s="2">
        <f t="shared" si="15"/>
        <v>0</v>
      </c>
      <c r="N227" s="17">
        <f t="shared" si="14"/>
        <v>0</v>
      </c>
    </row>
    <row r="228" spans="1:14" x14ac:dyDescent="0.25">
      <c r="A228" s="6">
        <v>246</v>
      </c>
      <c r="B228" s="8" t="s">
        <v>5</v>
      </c>
      <c r="C228" s="5" t="s">
        <v>395</v>
      </c>
      <c r="D228" s="3" t="s">
        <v>396</v>
      </c>
      <c r="E228" s="3"/>
      <c r="F228" s="2"/>
      <c r="J228" s="2">
        <v>1</v>
      </c>
      <c r="K228" s="2">
        <v>0</v>
      </c>
      <c r="L228" s="17">
        <f t="shared" si="13"/>
        <v>0</v>
      </c>
      <c r="M228" s="2">
        <f t="shared" si="15"/>
        <v>0</v>
      </c>
      <c r="N228" s="17">
        <f t="shared" si="14"/>
        <v>0</v>
      </c>
    </row>
    <row r="229" spans="1:14" x14ac:dyDescent="0.25">
      <c r="A229" s="6">
        <v>134</v>
      </c>
      <c r="B229" s="8" t="s">
        <v>229</v>
      </c>
      <c r="C229" s="1" t="s">
        <v>6</v>
      </c>
      <c r="D229" s="3" t="s">
        <v>202</v>
      </c>
      <c r="E229" s="3"/>
      <c r="F229" s="2"/>
      <c r="G229" s="2"/>
      <c r="H229" s="2"/>
      <c r="I229" s="2"/>
      <c r="J229" s="2">
        <v>2</v>
      </c>
      <c r="K229" s="2">
        <v>5</v>
      </c>
      <c r="L229" s="17">
        <f t="shared" si="13"/>
        <v>7.13063320022818E-2</v>
      </c>
      <c r="M229" s="2">
        <f t="shared" si="15"/>
        <v>0</v>
      </c>
      <c r="N229" s="17">
        <f t="shared" si="14"/>
        <v>0</v>
      </c>
    </row>
    <row r="230" spans="1:14" x14ac:dyDescent="0.25">
      <c r="B230" s="8" t="s">
        <v>3</v>
      </c>
      <c r="C230" s="5" t="s">
        <v>162</v>
      </c>
      <c r="D230" s="3" t="s">
        <v>163</v>
      </c>
      <c r="E230" s="3"/>
      <c r="K230" s="2">
        <v>1</v>
      </c>
      <c r="L230" s="17">
        <f t="shared" si="13"/>
        <v>1.4261266400456359E-2</v>
      </c>
      <c r="M230" s="2">
        <f t="shared" si="15"/>
        <v>0</v>
      </c>
      <c r="N230" s="17">
        <f t="shared" si="14"/>
        <v>0</v>
      </c>
    </row>
    <row r="231" spans="1:14" x14ac:dyDescent="0.25">
      <c r="A231" s="6">
        <v>219</v>
      </c>
      <c r="B231" s="8" t="s">
        <v>5</v>
      </c>
      <c r="C231" s="5" t="s">
        <v>354</v>
      </c>
      <c r="D231" s="3" t="s">
        <v>353</v>
      </c>
      <c r="E231" s="3"/>
      <c r="F231" s="2"/>
      <c r="J231" s="2">
        <v>5</v>
      </c>
      <c r="K231" s="2">
        <v>2</v>
      </c>
      <c r="L231" s="17">
        <f t="shared" si="13"/>
        <v>2.8522532800912718E-2</v>
      </c>
      <c r="M231" s="2">
        <f t="shared" si="15"/>
        <v>0</v>
      </c>
      <c r="N231" s="17">
        <f t="shared" si="14"/>
        <v>0</v>
      </c>
    </row>
    <row r="232" spans="1:14" x14ac:dyDescent="0.25">
      <c r="A232" s="6">
        <v>140</v>
      </c>
      <c r="B232" s="8" t="s">
        <v>7</v>
      </c>
      <c r="C232" s="5" t="s">
        <v>6</v>
      </c>
      <c r="D232" s="3" t="s">
        <v>242</v>
      </c>
      <c r="E232" s="3"/>
      <c r="F232" s="2"/>
      <c r="J232" s="2">
        <v>1</v>
      </c>
      <c r="K232" s="2">
        <v>1</v>
      </c>
      <c r="L232" s="17">
        <f t="shared" si="13"/>
        <v>1.4261266400456359E-2</v>
      </c>
      <c r="M232" s="2">
        <f t="shared" si="15"/>
        <v>0</v>
      </c>
      <c r="N232" s="17">
        <f t="shared" si="14"/>
        <v>0</v>
      </c>
    </row>
    <row r="233" spans="1:14" x14ac:dyDescent="0.25">
      <c r="A233" s="6">
        <v>196</v>
      </c>
      <c r="B233" s="8" t="s">
        <v>5</v>
      </c>
      <c r="C233" s="5" t="s">
        <v>318</v>
      </c>
      <c r="D233" s="3" t="s">
        <v>316</v>
      </c>
      <c r="E233" s="3"/>
      <c r="F233" s="2"/>
      <c r="J233" s="2">
        <v>4</v>
      </c>
      <c r="K233" s="2">
        <v>1</v>
      </c>
      <c r="L233" s="17">
        <f t="shared" si="13"/>
        <v>1.4261266400456359E-2</v>
      </c>
      <c r="M233" s="2">
        <f t="shared" si="15"/>
        <v>0</v>
      </c>
      <c r="N233" s="17">
        <f t="shared" si="14"/>
        <v>0</v>
      </c>
    </row>
    <row r="234" spans="1:14" x14ac:dyDescent="0.25">
      <c r="A234" s="6">
        <v>146</v>
      </c>
      <c r="B234" s="8" t="s">
        <v>7</v>
      </c>
      <c r="C234" s="5" t="s">
        <v>250</v>
      </c>
      <c r="D234" s="3" t="s">
        <v>251</v>
      </c>
      <c r="E234" s="3"/>
      <c r="F234" s="2"/>
      <c r="J234" s="2">
        <v>2</v>
      </c>
      <c r="K234" s="2">
        <v>4</v>
      </c>
      <c r="L234" s="17">
        <f t="shared" si="13"/>
        <v>5.7045065601825436E-2</v>
      </c>
      <c r="M234" s="2">
        <f t="shared" si="15"/>
        <v>0</v>
      </c>
      <c r="N234" s="17">
        <f t="shared" si="14"/>
        <v>0</v>
      </c>
    </row>
    <row r="235" spans="1:14" x14ac:dyDescent="0.25">
      <c r="A235" s="6">
        <v>232</v>
      </c>
      <c r="B235" s="8" t="s">
        <v>20</v>
      </c>
      <c r="C235" s="5" t="s">
        <v>6</v>
      </c>
      <c r="D235" s="3" t="s">
        <v>97</v>
      </c>
      <c r="E235" s="3"/>
      <c r="F235" s="2"/>
      <c r="J235" s="2">
        <v>1</v>
      </c>
      <c r="K235" s="2">
        <v>1</v>
      </c>
      <c r="L235" s="17">
        <f t="shared" si="13"/>
        <v>1.4261266400456359E-2</v>
      </c>
      <c r="M235" s="2">
        <f t="shared" si="15"/>
        <v>0</v>
      </c>
      <c r="N235" s="17">
        <f t="shared" si="14"/>
        <v>0</v>
      </c>
    </row>
    <row r="236" spans="1:14" x14ac:dyDescent="0.25">
      <c r="A236" s="6">
        <v>167</v>
      </c>
      <c r="B236" s="8" t="s">
        <v>20</v>
      </c>
      <c r="C236" s="5" t="s">
        <v>6</v>
      </c>
      <c r="D236" s="3" t="s">
        <v>228</v>
      </c>
      <c r="E236" s="3"/>
      <c r="F236" s="2"/>
      <c r="J236" s="2">
        <v>1</v>
      </c>
      <c r="K236" s="2">
        <v>0</v>
      </c>
      <c r="L236" s="17">
        <f t="shared" si="13"/>
        <v>0</v>
      </c>
      <c r="M236" s="2">
        <f t="shared" si="15"/>
        <v>0</v>
      </c>
      <c r="N236" s="17">
        <f t="shared" si="14"/>
        <v>0</v>
      </c>
    </row>
    <row r="237" spans="1:14" x14ac:dyDescent="0.25">
      <c r="A237" s="6">
        <v>152</v>
      </c>
      <c r="B237" s="1" t="s">
        <v>1</v>
      </c>
      <c r="C237" s="5" t="s">
        <v>262</v>
      </c>
      <c r="D237" s="3" t="s">
        <v>263</v>
      </c>
      <c r="E237" s="3"/>
      <c r="J237" s="2">
        <v>2</v>
      </c>
      <c r="K237" s="2">
        <v>0</v>
      </c>
      <c r="L237" s="17">
        <f t="shared" si="13"/>
        <v>0</v>
      </c>
      <c r="M237" s="2">
        <f t="shared" si="15"/>
        <v>0</v>
      </c>
      <c r="N237" s="17">
        <f t="shared" si="14"/>
        <v>0</v>
      </c>
    </row>
    <row r="238" spans="1:14" x14ac:dyDescent="0.25">
      <c r="A238" s="6">
        <v>154</v>
      </c>
      <c r="B238" s="1" t="s">
        <v>1</v>
      </c>
      <c r="C238" s="5" t="s">
        <v>267</v>
      </c>
      <c r="D238" s="3" t="s">
        <v>266</v>
      </c>
      <c r="E238" s="3"/>
      <c r="J238" s="2">
        <v>3</v>
      </c>
      <c r="K238" s="2">
        <v>0</v>
      </c>
      <c r="L238" s="17">
        <f t="shared" si="13"/>
        <v>0</v>
      </c>
      <c r="M238" s="2">
        <f t="shared" si="15"/>
        <v>0</v>
      </c>
      <c r="N238" s="17">
        <f t="shared" si="14"/>
        <v>0</v>
      </c>
    </row>
    <row r="239" spans="1:14" x14ac:dyDescent="0.25">
      <c r="A239" s="6">
        <v>155</v>
      </c>
      <c r="B239" s="8" t="s">
        <v>30</v>
      </c>
      <c r="C239" s="5" t="s">
        <v>269</v>
      </c>
      <c r="D239" s="3" t="s">
        <v>268</v>
      </c>
      <c r="E239" s="3"/>
      <c r="F239" s="2"/>
      <c r="J239" s="2">
        <v>1</v>
      </c>
      <c r="K239" s="2">
        <v>1</v>
      </c>
      <c r="L239" s="17">
        <f t="shared" si="13"/>
        <v>1.4261266400456359E-2</v>
      </c>
      <c r="M239" s="2">
        <f t="shared" si="15"/>
        <v>0</v>
      </c>
      <c r="N239" s="17">
        <f t="shared" si="14"/>
        <v>0</v>
      </c>
    </row>
    <row r="240" spans="1:14" x14ac:dyDescent="0.25">
      <c r="A240" s="6">
        <v>156</v>
      </c>
      <c r="B240" s="8" t="s">
        <v>30</v>
      </c>
      <c r="C240" s="5" t="s">
        <v>270</v>
      </c>
      <c r="D240" s="3" t="s">
        <v>271</v>
      </c>
      <c r="E240" s="3"/>
      <c r="F240" s="2"/>
      <c r="J240" s="2">
        <v>1</v>
      </c>
      <c r="K240" s="2">
        <v>2</v>
      </c>
      <c r="L240" s="17">
        <f t="shared" si="13"/>
        <v>2.8522532800912718E-2</v>
      </c>
      <c r="M240" s="2">
        <f t="shared" si="15"/>
        <v>0</v>
      </c>
      <c r="N240" s="17">
        <f t="shared" si="14"/>
        <v>0</v>
      </c>
    </row>
    <row r="241" spans="1:14 16353:16375" x14ac:dyDescent="0.25">
      <c r="A241" s="6">
        <v>157</v>
      </c>
      <c r="B241" s="8" t="s">
        <v>30</v>
      </c>
      <c r="C241" s="5" t="s">
        <v>273</v>
      </c>
      <c r="D241" s="3" t="s">
        <v>272</v>
      </c>
      <c r="E241" s="3"/>
      <c r="J241" s="2">
        <v>1</v>
      </c>
      <c r="K241" s="2">
        <v>1</v>
      </c>
      <c r="L241" s="17">
        <f t="shared" si="13"/>
        <v>1.4261266400456359E-2</v>
      </c>
      <c r="M241" s="2">
        <f t="shared" si="15"/>
        <v>0</v>
      </c>
      <c r="N241" s="17">
        <f t="shared" si="14"/>
        <v>0</v>
      </c>
    </row>
    <row r="242" spans="1:14 16353:16375" x14ac:dyDescent="0.25">
      <c r="A242" s="6">
        <v>158</v>
      </c>
      <c r="B242" s="8" t="s">
        <v>30</v>
      </c>
      <c r="C242" s="5" t="s">
        <v>274</v>
      </c>
      <c r="D242" s="3" t="s">
        <v>275</v>
      </c>
      <c r="E242" s="3"/>
      <c r="J242" s="2">
        <v>1</v>
      </c>
      <c r="K242" s="2">
        <v>2</v>
      </c>
      <c r="L242" s="17">
        <f t="shared" si="13"/>
        <v>2.8522532800912718E-2</v>
      </c>
      <c r="M242" s="2">
        <f t="shared" si="15"/>
        <v>0</v>
      </c>
      <c r="N242" s="17">
        <f t="shared" si="14"/>
        <v>0</v>
      </c>
    </row>
    <row r="243" spans="1:14 16353:16375" x14ac:dyDescent="0.25">
      <c r="A243" s="6">
        <v>159</v>
      </c>
      <c r="B243" s="8" t="s">
        <v>30</v>
      </c>
      <c r="C243" s="5" t="s">
        <v>6</v>
      </c>
      <c r="D243" s="3" t="s">
        <v>276</v>
      </c>
      <c r="E243" s="3"/>
      <c r="J243" s="2">
        <v>1</v>
      </c>
      <c r="K243" s="2">
        <v>0</v>
      </c>
      <c r="L243" s="17">
        <f t="shared" si="13"/>
        <v>0</v>
      </c>
      <c r="M243" s="2">
        <f t="shared" si="15"/>
        <v>0</v>
      </c>
      <c r="N243" s="17">
        <f t="shared" si="14"/>
        <v>0</v>
      </c>
    </row>
    <row r="244" spans="1:14 16353:16375" x14ac:dyDescent="0.25">
      <c r="A244" s="6">
        <v>160</v>
      </c>
      <c r="B244" s="1" t="s">
        <v>1</v>
      </c>
      <c r="C244" s="5" t="s">
        <v>277</v>
      </c>
      <c r="D244" s="3" t="s">
        <v>207</v>
      </c>
      <c r="E244" s="3"/>
      <c r="J244" s="2">
        <v>0</v>
      </c>
      <c r="K244" s="2">
        <v>0</v>
      </c>
      <c r="L244" s="17">
        <f t="shared" si="13"/>
        <v>0</v>
      </c>
      <c r="M244" s="2">
        <f t="shared" si="15"/>
        <v>0</v>
      </c>
      <c r="N244" s="17">
        <f t="shared" si="14"/>
        <v>0</v>
      </c>
    </row>
    <row r="245" spans="1:14 16353:16375" x14ac:dyDescent="0.25">
      <c r="A245" s="6">
        <v>161</v>
      </c>
      <c r="B245" s="1" t="s">
        <v>1</v>
      </c>
      <c r="C245" s="5" t="s">
        <v>279</v>
      </c>
      <c r="D245" s="3" t="s">
        <v>278</v>
      </c>
      <c r="E245" s="3"/>
      <c r="J245" s="2">
        <v>1</v>
      </c>
      <c r="K245" s="2">
        <v>1</v>
      </c>
      <c r="L245" s="17">
        <f t="shared" si="13"/>
        <v>1.4261266400456359E-2</v>
      </c>
      <c r="M245" s="2">
        <f t="shared" ref="M245:M276" si="16">SUM(O245:AP245)</f>
        <v>0</v>
      </c>
      <c r="N245" s="17">
        <f t="shared" si="14"/>
        <v>0</v>
      </c>
    </row>
    <row r="246" spans="1:14 16353:16375" x14ac:dyDescent="0.25">
      <c r="A246" s="6">
        <v>141</v>
      </c>
      <c r="B246" s="8" t="s">
        <v>5</v>
      </c>
      <c r="C246" s="5" t="s">
        <v>243</v>
      </c>
      <c r="D246" s="3" t="s">
        <v>244</v>
      </c>
      <c r="E246" s="3"/>
      <c r="F246" s="2"/>
      <c r="J246" s="2">
        <v>1</v>
      </c>
      <c r="K246" s="2">
        <v>0</v>
      </c>
      <c r="L246" s="17">
        <f t="shared" si="13"/>
        <v>0</v>
      </c>
      <c r="M246" s="2">
        <f t="shared" si="16"/>
        <v>0</v>
      </c>
      <c r="N246" s="17">
        <f t="shared" si="14"/>
        <v>0</v>
      </c>
    </row>
    <row r="247" spans="1:14 16353:16375" x14ac:dyDescent="0.25">
      <c r="A247" s="6">
        <v>168</v>
      </c>
      <c r="B247" s="1" t="s">
        <v>23</v>
      </c>
      <c r="C247" s="5" t="s">
        <v>6</v>
      </c>
      <c r="D247" s="3" t="s">
        <v>280</v>
      </c>
      <c r="E247" s="3"/>
      <c r="J247" s="2">
        <v>3</v>
      </c>
      <c r="K247" s="2">
        <v>3</v>
      </c>
      <c r="L247" s="17">
        <f t="shared" si="13"/>
        <v>4.2783799201369085E-2</v>
      </c>
      <c r="M247" s="2">
        <f t="shared" si="16"/>
        <v>0</v>
      </c>
      <c r="N247" s="17">
        <f t="shared" si="14"/>
        <v>0</v>
      </c>
    </row>
    <row r="248" spans="1:14 16353:16375" x14ac:dyDescent="0.25">
      <c r="A248" s="6">
        <v>169</v>
      </c>
      <c r="B248" s="8" t="s">
        <v>223</v>
      </c>
      <c r="C248" s="6" t="s">
        <v>6</v>
      </c>
      <c r="D248" s="6" t="s">
        <v>228</v>
      </c>
      <c r="J248" s="2">
        <v>1</v>
      </c>
      <c r="K248" s="2">
        <v>1</v>
      </c>
      <c r="L248" s="17">
        <f t="shared" si="13"/>
        <v>1.4261266400456359E-2</v>
      </c>
      <c r="M248" s="2">
        <f t="shared" si="16"/>
        <v>0</v>
      </c>
      <c r="N248" s="17">
        <f t="shared" si="14"/>
        <v>0</v>
      </c>
    </row>
    <row r="249" spans="1:14 16353:16375" x14ac:dyDescent="0.25">
      <c r="A249" s="6">
        <v>171</v>
      </c>
      <c r="B249" s="8" t="s">
        <v>281</v>
      </c>
      <c r="C249" s="5" t="s">
        <v>6</v>
      </c>
      <c r="D249" s="6" t="s">
        <v>228</v>
      </c>
      <c r="J249" s="2">
        <v>2</v>
      </c>
      <c r="K249" s="2">
        <v>2</v>
      </c>
      <c r="L249" s="17">
        <f t="shared" si="13"/>
        <v>2.8522532800912718E-2</v>
      </c>
      <c r="M249" s="2">
        <f t="shared" si="16"/>
        <v>0</v>
      </c>
      <c r="N249" s="17">
        <f t="shared" si="14"/>
        <v>0</v>
      </c>
    </row>
    <row r="250" spans="1:14 16353:16375" x14ac:dyDescent="0.25">
      <c r="A250" s="6">
        <v>172</v>
      </c>
      <c r="B250" s="8" t="s">
        <v>12</v>
      </c>
      <c r="C250" s="5" t="s">
        <v>6</v>
      </c>
      <c r="D250" s="3" t="s">
        <v>282</v>
      </c>
      <c r="E250" s="3"/>
      <c r="J250" s="6">
        <v>1</v>
      </c>
      <c r="K250" s="2">
        <v>0</v>
      </c>
      <c r="L250" s="17">
        <f t="shared" si="13"/>
        <v>0</v>
      </c>
      <c r="M250" s="2">
        <f t="shared" si="16"/>
        <v>0</v>
      </c>
      <c r="N250" s="17">
        <f t="shared" si="14"/>
        <v>0</v>
      </c>
      <c r="XES250" s="8"/>
      <c r="XET250" s="5"/>
      <c r="XEU250" s="3"/>
    </row>
    <row r="251" spans="1:14 16353:16375" x14ac:dyDescent="0.25">
      <c r="A251" s="6">
        <v>177</v>
      </c>
      <c r="B251" s="8" t="s">
        <v>23</v>
      </c>
      <c r="C251" s="5" t="s">
        <v>40</v>
      </c>
      <c r="D251" s="3" t="s">
        <v>144</v>
      </c>
      <c r="E251" s="3"/>
      <c r="F251" s="2"/>
      <c r="J251" s="2">
        <v>1</v>
      </c>
      <c r="K251" s="2">
        <v>1</v>
      </c>
      <c r="L251" s="17">
        <f t="shared" si="13"/>
        <v>1.4261266400456359E-2</v>
      </c>
      <c r="M251" s="2">
        <f t="shared" si="16"/>
        <v>0</v>
      </c>
      <c r="N251" s="17">
        <f t="shared" si="14"/>
        <v>0</v>
      </c>
      <c r="XES251" s="8"/>
      <c r="XET251" s="5"/>
      <c r="XEU251" s="3"/>
    </row>
    <row r="252" spans="1:14 16353:16375" x14ac:dyDescent="0.25">
      <c r="A252" s="6">
        <v>178</v>
      </c>
      <c r="B252" s="1" t="s">
        <v>1</v>
      </c>
      <c r="C252" s="5" t="s">
        <v>288</v>
      </c>
      <c r="D252" s="3" t="s">
        <v>289</v>
      </c>
      <c r="E252" s="3"/>
      <c r="F252" s="2"/>
      <c r="J252" s="2">
        <v>2</v>
      </c>
      <c r="K252" s="2">
        <v>2</v>
      </c>
      <c r="L252" s="17">
        <f t="shared" si="13"/>
        <v>2.8522532800912718E-2</v>
      </c>
      <c r="M252" s="2">
        <f t="shared" si="16"/>
        <v>0</v>
      </c>
      <c r="N252" s="17">
        <f t="shared" si="14"/>
        <v>0</v>
      </c>
      <c r="XES252" s="8"/>
      <c r="XET252" s="5"/>
      <c r="XEU252" s="3"/>
    </row>
    <row r="253" spans="1:14 16353:16375" x14ac:dyDescent="0.25">
      <c r="A253" s="6">
        <v>180</v>
      </c>
      <c r="B253" s="1" t="s">
        <v>1</v>
      </c>
      <c r="C253" s="5" t="s">
        <v>291</v>
      </c>
      <c r="D253" s="3" t="s">
        <v>290</v>
      </c>
      <c r="E253" s="3"/>
      <c r="F253" s="2"/>
      <c r="J253" s="2">
        <v>2</v>
      </c>
      <c r="K253" s="2">
        <v>3</v>
      </c>
      <c r="L253" s="17">
        <f t="shared" si="13"/>
        <v>4.2783799201369085E-2</v>
      </c>
      <c r="M253" s="2">
        <f t="shared" si="16"/>
        <v>0</v>
      </c>
      <c r="N253" s="17">
        <f t="shared" si="14"/>
        <v>0</v>
      </c>
      <c r="XEN253" s="8"/>
      <c r="XEO253" s="5"/>
      <c r="XEP253" s="3"/>
      <c r="XES253" s="8"/>
      <c r="XET253" s="5"/>
      <c r="XEU253" s="3"/>
    </row>
    <row r="254" spans="1:14 16353:16375" x14ac:dyDescent="0.25">
      <c r="A254" s="6">
        <v>181</v>
      </c>
      <c r="B254" s="8" t="s">
        <v>7</v>
      </c>
      <c r="C254" s="5" t="s">
        <v>194</v>
      </c>
      <c r="D254" s="3" t="s">
        <v>293</v>
      </c>
      <c r="E254" s="3"/>
      <c r="F254" s="2"/>
      <c r="J254" s="2">
        <v>2</v>
      </c>
      <c r="K254" s="2">
        <v>0</v>
      </c>
      <c r="L254" s="17">
        <f t="shared" si="13"/>
        <v>0</v>
      </c>
      <c r="M254" s="2">
        <f t="shared" si="16"/>
        <v>0</v>
      </c>
      <c r="N254" s="17">
        <f t="shared" si="14"/>
        <v>0</v>
      </c>
      <c r="XES254" s="8"/>
      <c r="XET254" s="5"/>
      <c r="XEU254" s="3"/>
    </row>
    <row r="255" spans="1:14 16353:16375" x14ac:dyDescent="0.25">
      <c r="A255" s="6">
        <v>182</v>
      </c>
      <c r="B255" s="8" t="s">
        <v>12</v>
      </c>
      <c r="C255" s="5" t="s">
        <v>294</v>
      </c>
      <c r="D255" s="3" t="s">
        <v>295</v>
      </c>
      <c r="E255" s="3"/>
      <c r="F255" s="2"/>
      <c r="J255" s="2">
        <v>5</v>
      </c>
      <c r="K255" s="2">
        <v>0</v>
      </c>
      <c r="L255" s="17">
        <f t="shared" si="13"/>
        <v>0</v>
      </c>
      <c r="M255" s="2">
        <f t="shared" si="16"/>
        <v>0</v>
      </c>
      <c r="N255" s="17">
        <f t="shared" si="14"/>
        <v>0</v>
      </c>
      <c r="XEM255" s="8"/>
      <c r="XEN255" s="5"/>
      <c r="XEO255" s="3"/>
      <c r="XEP255" s="2"/>
      <c r="XEQ255" s="8"/>
      <c r="XER255" s="5"/>
      <c r="XET255" s="2"/>
    </row>
    <row r="256" spans="1:14 16353:16375" x14ac:dyDescent="0.25">
      <c r="A256" s="6">
        <v>184</v>
      </c>
      <c r="B256" s="8" t="s">
        <v>297</v>
      </c>
      <c r="C256" s="5" t="s">
        <v>25</v>
      </c>
      <c r="D256" s="3" t="s">
        <v>179</v>
      </c>
      <c r="E256" s="3"/>
      <c r="F256" s="2"/>
      <c r="J256" s="2">
        <v>1</v>
      </c>
      <c r="K256" s="2">
        <v>3</v>
      </c>
      <c r="L256" s="17">
        <f t="shared" si="13"/>
        <v>4.2783799201369085E-2</v>
      </c>
      <c r="M256" s="2">
        <f t="shared" si="16"/>
        <v>0</v>
      </c>
      <c r="N256" s="17">
        <f t="shared" si="14"/>
        <v>0</v>
      </c>
      <c r="XDY256" s="8"/>
      <c r="XDZ256" s="5"/>
      <c r="XEA256" s="3"/>
      <c r="XEB256" s="2"/>
      <c r="XEC256" s="8"/>
      <c r="XED256" s="5"/>
      <c r="XEF256" s="2"/>
      <c r="XEM256" s="8"/>
      <c r="XEN256" s="5"/>
      <c r="XEO256" s="3"/>
      <c r="XEQ256" s="8"/>
      <c r="XER256" s="5"/>
    </row>
    <row r="257" spans="1:14 16357:16374" x14ac:dyDescent="0.25">
      <c r="A257" s="6">
        <v>225</v>
      </c>
      <c r="B257" s="8" t="s">
        <v>5</v>
      </c>
      <c r="C257" s="5" t="s">
        <v>365</v>
      </c>
      <c r="D257" s="3" t="s">
        <v>364</v>
      </c>
      <c r="E257" s="3"/>
      <c r="F257" s="2"/>
      <c r="J257" s="2">
        <v>2</v>
      </c>
      <c r="K257" s="2">
        <v>1</v>
      </c>
      <c r="L257" s="17">
        <f t="shared" si="13"/>
        <v>1.4261266400456359E-2</v>
      </c>
      <c r="M257" s="2">
        <f t="shared" si="16"/>
        <v>0</v>
      </c>
      <c r="N257" s="17">
        <f t="shared" si="14"/>
        <v>0</v>
      </c>
      <c r="XEQ257" s="8"/>
      <c r="XER257" s="5"/>
      <c r="XES257" s="3"/>
      <c r="XET257" s="2"/>
    </row>
    <row r="258" spans="1:14 16357:16374" x14ac:dyDescent="0.25">
      <c r="A258" s="6">
        <v>201</v>
      </c>
      <c r="B258" s="8" t="s">
        <v>3</v>
      </c>
      <c r="C258" s="5" t="s">
        <v>40</v>
      </c>
      <c r="D258" s="3" t="s">
        <v>324</v>
      </c>
      <c r="E258" s="3"/>
      <c r="F258" s="2"/>
      <c r="J258" s="2">
        <v>1</v>
      </c>
      <c r="K258" s="2">
        <v>2</v>
      </c>
      <c r="L258" s="17">
        <f t="shared" si="13"/>
        <v>2.8522532800912718E-2</v>
      </c>
      <c r="M258" s="2">
        <f t="shared" si="16"/>
        <v>0</v>
      </c>
      <c r="N258" s="17">
        <f t="shared" si="14"/>
        <v>0</v>
      </c>
      <c r="XEQ258" s="8"/>
      <c r="XER258" s="5"/>
      <c r="XES258" s="3"/>
      <c r="XET258" s="2"/>
    </row>
    <row r="259" spans="1:14 16357:16374" x14ac:dyDescent="0.25">
      <c r="A259" s="6">
        <v>191</v>
      </c>
      <c r="B259" s="8" t="s">
        <v>137</v>
      </c>
      <c r="C259" s="5" t="s">
        <v>307</v>
      </c>
      <c r="D259" s="3" t="s">
        <v>93</v>
      </c>
      <c r="E259" s="3"/>
      <c r="F259" s="2"/>
      <c r="J259" s="2">
        <v>3</v>
      </c>
      <c r="K259" s="2">
        <v>4</v>
      </c>
      <c r="L259" s="17">
        <f t="shared" ref="L259:L316" si="17">K259/7012*100</f>
        <v>5.7045065601825436E-2</v>
      </c>
      <c r="M259" s="2">
        <f t="shared" si="16"/>
        <v>0</v>
      </c>
      <c r="N259" s="17">
        <f t="shared" ref="N259:N316" si="18">M259/2700*100</f>
        <v>0</v>
      </c>
      <c r="XEQ259" s="8"/>
      <c r="XER259" s="5"/>
      <c r="XES259" s="3"/>
      <c r="XET259" s="2"/>
    </row>
    <row r="260" spans="1:14 16357:16374" x14ac:dyDescent="0.25">
      <c r="A260" s="6">
        <v>192</v>
      </c>
      <c r="B260" s="8" t="s">
        <v>281</v>
      </c>
      <c r="C260" s="5" t="s">
        <v>309</v>
      </c>
      <c r="D260" s="6" t="s">
        <v>308</v>
      </c>
      <c r="F260" s="2"/>
      <c r="J260" s="2">
        <v>3</v>
      </c>
      <c r="K260" s="2">
        <v>2</v>
      </c>
      <c r="L260" s="17">
        <f t="shared" si="17"/>
        <v>2.8522532800912718E-2</v>
      </c>
      <c r="M260" s="2">
        <f t="shared" si="16"/>
        <v>0</v>
      </c>
      <c r="N260" s="17">
        <f t="shared" si="18"/>
        <v>0</v>
      </c>
      <c r="XEJ260" s="8"/>
      <c r="XEK260" s="5"/>
      <c r="XEL260" s="3"/>
      <c r="XEM260" s="2"/>
      <c r="XEQ260" s="8"/>
      <c r="XER260" s="5"/>
      <c r="XES260" s="3"/>
    </row>
    <row r="261" spans="1:14 16357:16374" x14ac:dyDescent="0.25">
      <c r="B261" s="8" t="s">
        <v>5</v>
      </c>
      <c r="C261" s="5" t="s">
        <v>479</v>
      </c>
      <c r="D261" s="3" t="s">
        <v>478</v>
      </c>
      <c r="E261" s="3"/>
      <c r="F261" s="2"/>
      <c r="K261" s="2">
        <v>1</v>
      </c>
      <c r="L261" s="17">
        <f t="shared" si="17"/>
        <v>1.4261266400456359E-2</v>
      </c>
      <c r="M261" s="2">
        <f t="shared" si="16"/>
        <v>0</v>
      </c>
      <c r="N261" s="17">
        <f t="shared" si="18"/>
        <v>0</v>
      </c>
      <c r="XEC261" s="8"/>
      <c r="XED261" s="5"/>
      <c r="XEE261" s="3"/>
      <c r="XEF261" s="2"/>
      <c r="XEJ261" s="8"/>
      <c r="XEK261" s="5"/>
      <c r="XEL261" s="3"/>
      <c r="XEQ261" s="8"/>
      <c r="XER261" s="5"/>
      <c r="XES261" s="3"/>
    </row>
    <row r="262" spans="1:14 16357:16374" x14ac:dyDescent="0.25">
      <c r="A262" s="6">
        <v>198</v>
      </c>
      <c r="B262" s="8" t="s">
        <v>7</v>
      </c>
      <c r="C262" s="5" t="s">
        <v>321</v>
      </c>
      <c r="D262" s="3" t="s">
        <v>320</v>
      </c>
      <c r="E262" s="3"/>
      <c r="F262" s="2"/>
      <c r="J262" s="2">
        <v>2</v>
      </c>
      <c r="K262" s="2">
        <v>10</v>
      </c>
      <c r="L262" s="17">
        <f t="shared" si="17"/>
        <v>0.1426126640045636</v>
      </c>
      <c r="M262" s="2">
        <f t="shared" si="16"/>
        <v>0</v>
      </c>
      <c r="N262" s="17">
        <f t="shared" si="18"/>
        <v>0</v>
      </c>
      <c r="XEQ262" s="8"/>
      <c r="XER262" s="5"/>
      <c r="XES262" s="3"/>
      <c r="XET262" s="2"/>
    </row>
    <row r="263" spans="1:14 16357:16374" x14ac:dyDescent="0.25">
      <c r="A263" s="6">
        <v>199</v>
      </c>
      <c r="B263" s="8" t="s">
        <v>7</v>
      </c>
      <c r="C263" s="5" t="s">
        <v>40</v>
      </c>
      <c r="D263" s="3" t="s">
        <v>322</v>
      </c>
      <c r="E263" s="3"/>
      <c r="F263" s="2"/>
      <c r="J263" s="2">
        <v>3</v>
      </c>
      <c r="K263" s="2">
        <v>1</v>
      </c>
      <c r="L263" s="17">
        <f t="shared" si="17"/>
        <v>1.4261266400456359E-2</v>
      </c>
      <c r="M263" s="2">
        <f t="shared" si="16"/>
        <v>0</v>
      </c>
      <c r="N263" s="17">
        <f t="shared" si="18"/>
        <v>0</v>
      </c>
      <c r="XEJ263" s="8"/>
      <c r="XEK263" s="5"/>
      <c r="XEL263" s="3"/>
      <c r="XEM263" s="2"/>
      <c r="XEQ263" s="8"/>
      <c r="XER263" s="5"/>
      <c r="XES263" s="3"/>
    </row>
    <row r="264" spans="1:14 16357:16374" x14ac:dyDescent="0.25">
      <c r="B264" s="8" t="s">
        <v>3</v>
      </c>
      <c r="C264" s="5" t="s">
        <v>473</v>
      </c>
      <c r="D264" s="3" t="s">
        <v>474</v>
      </c>
      <c r="E264" s="3"/>
      <c r="K264" s="2">
        <v>1</v>
      </c>
      <c r="L264" s="17">
        <f t="shared" si="17"/>
        <v>1.4261266400456359E-2</v>
      </c>
      <c r="M264" s="2">
        <f t="shared" si="16"/>
        <v>0</v>
      </c>
      <c r="N264" s="17">
        <f t="shared" si="18"/>
        <v>0</v>
      </c>
      <c r="XEC264" s="8"/>
      <c r="XED264" s="5"/>
      <c r="XEE264" s="3"/>
      <c r="XEF264" s="2"/>
      <c r="XEJ264" s="8"/>
      <c r="XEK264" s="5"/>
      <c r="XEL264" s="3"/>
      <c r="XEQ264" s="8"/>
      <c r="XER264" s="5"/>
      <c r="XES264" s="3"/>
    </row>
    <row r="265" spans="1:14 16357:16374" x14ac:dyDescent="0.25">
      <c r="A265" s="6">
        <v>207</v>
      </c>
      <c r="B265" s="1" t="s">
        <v>1</v>
      </c>
      <c r="C265" s="5" t="s">
        <v>334</v>
      </c>
      <c r="D265" s="3" t="s">
        <v>333</v>
      </c>
      <c r="E265" s="3"/>
      <c r="F265" s="2"/>
      <c r="J265" s="2">
        <v>2</v>
      </c>
      <c r="K265" s="2">
        <v>0</v>
      </c>
      <c r="L265" s="17">
        <f t="shared" si="17"/>
        <v>0</v>
      </c>
      <c r="M265" s="2">
        <f t="shared" si="16"/>
        <v>0</v>
      </c>
      <c r="N265" s="17">
        <f t="shared" si="18"/>
        <v>0</v>
      </c>
      <c r="XEQ265" s="3"/>
      <c r="XER265" s="5"/>
      <c r="XES265" s="3"/>
      <c r="XET265" s="2"/>
    </row>
    <row r="266" spans="1:14 16357:16374" x14ac:dyDescent="0.25">
      <c r="B266" s="8" t="s">
        <v>20</v>
      </c>
      <c r="C266" s="5" t="s">
        <v>6</v>
      </c>
      <c r="D266" s="3" t="s">
        <v>466</v>
      </c>
      <c r="E266" s="3"/>
      <c r="F266" s="2"/>
      <c r="K266" s="2">
        <v>2</v>
      </c>
      <c r="L266" s="17">
        <f t="shared" si="17"/>
        <v>2.8522532800912718E-2</v>
      </c>
      <c r="M266" s="2">
        <f t="shared" si="16"/>
        <v>0</v>
      </c>
      <c r="N266" s="17">
        <f t="shared" si="18"/>
        <v>0</v>
      </c>
      <c r="XEQ266" s="1"/>
      <c r="XER266" s="5"/>
      <c r="XES266" s="3"/>
      <c r="XET266" s="2"/>
    </row>
    <row r="267" spans="1:14 16357:16374" x14ac:dyDescent="0.25">
      <c r="A267" s="6">
        <v>209</v>
      </c>
      <c r="B267" s="8" t="s">
        <v>229</v>
      </c>
      <c r="C267" s="1" t="s">
        <v>6</v>
      </c>
      <c r="D267" s="3" t="s">
        <v>337</v>
      </c>
      <c r="E267" s="3"/>
      <c r="J267" s="2">
        <v>2</v>
      </c>
      <c r="K267" s="2">
        <v>0</v>
      </c>
      <c r="L267" s="17">
        <f t="shared" si="17"/>
        <v>0</v>
      </c>
      <c r="M267" s="2">
        <f t="shared" si="16"/>
        <v>0</v>
      </c>
      <c r="N267" s="17">
        <f t="shared" si="18"/>
        <v>0</v>
      </c>
      <c r="XEO267" s="8"/>
      <c r="XEP267" s="5"/>
      <c r="XEQ267" s="3"/>
      <c r="XER267" s="2"/>
    </row>
    <row r="268" spans="1:14 16357:16374" x14ac:dyDescent="0.25">
      <c r="A268" s="6">
        <v>124</v>
      </c>
      <c r="B268" s="8" t="s">
        <v>5</v>
      </c>
      <c r="C268" s="5" t="s">
        <v>212</v>
      </c>
      <c r="D268" s="3" t="s">
        <v>211</v>
      </c>
      <c r="E268" s="3"/>
      <c r="F268" s="2"/>
      <c r="G268" s="2"/>
      <c r="H268" s="2"/>
      <c r="I268" s="2"/>
      <c r="J268" s="2">
        <v>4</v>
      </c>
      <c r="K268" s="2">
        <v>3</v>
      </c>
      <c r="L268" s="17">
        <f t="shared" si="17"/>
        <v>4.2783799201369085E-2</v>
      </c>
      <c r="M268" s="2">
        <f t="shared" si="16"/>
        <v>0</v>
      </c>
      <c r="N268" s="17">
        <f t="shared" si="18"/>
        <v>0</v>
      </c>
      <c r="XEO268" s="8"/>
      <c r="XEP268" s="5"/>
      <c r="XEQ268" s="3"/>
      <c r="XER268" s="2"/>
    </row>
    <row r="269" spans="1:14 16357:16374" x14ac:dyDescent="0.25">
      <c r="A269" s="6">
        <v>215</v>
      </c>
      <c r="B269" s="8" t="s">
        <v>0</v>
      </c>
      <c r="C269" s="2" t="s">
        <v>6</v>
      </c>
      <c r="D269" s="3" t="s">
        <v>347</v>
      </c>
      <c r="E269" s="3"/>
      <c r="J269" s="2">
        <v>4</v>
      </c>
      <c r="K269" s="2">
        <v>3</v>
      </c>
      <c r="L269" s="17">
        <f t="shared" si="17"/>
        <v>4.2783799201369085E-2</v>
      </c>
      <c r="M269" s="2">
        <f t="shared" si="16"/>
        <v>0</v>
      </c>
      <c r="N269" s="17">
        <f t="shared" si="18"/>
        <v>0</v>
      </c>
      <c r="XEM269" s="1"/>
      <c r="XEN269" s="5"/>
      <c r="XEO269" s="3"/>
      <c r="XEP269" s="2"/>
    </row>
    <row r="270" spans="1:14 16357:16374" x14ac:dyDescent="0.25">
      <c r="B270" s="8" t="s">
        <v>5</v>
      </c>
      <c r="C270" s="5" t="s">
        <v>449</v>
      </c>
      <c r="D270" s="3" t="s">
        <v>451</v>
      </c>
      <c r="E270" s="3"/>
      <c r="F270" s="2"/>
      <c r="K270" s="2">
        <v>3</v>
      </c>
      <c r="L270" s="17">
        <f t="shared" si="17"/>
        <v>4.2783799201369085E-2</v>
      </c>
      <c r="M270" s="2">
        <f t="shared" si="16"/>
        <v>0</v>
      </c>
      <c r="N270" s="17">
        <f t="shared" si="18"/>
        <v>0</v>
      </c>
      <c r="XEM270" s="8"/>
      <c r="XEN270" s="5"/>
      <c r="XEO270" s="3"/>
      <c r="XEP270" s="2"/>
    </row>
    <row r="271" spans="1:14 16357:16374" x14ac:dyDescent="0.25">
      <c r="A271" s="6">
        <v>220</v>
      </c>
      <c r="B271" s="8" t="s">
        <v>297</v>
      </c>
      <c r="C271" s="5" t="s">
        <v>6</v>
      </c>
      <c r="D271" s="3" t="s">
        <v>355</v>
      </c>
      <c r="E271" s="3"/>
      <c r="F271" s="2"/>
      <c r="J271" s="2">
        <v>1</v>
      </c>
      <c r="K271" s="2">
        <v>0</v>
      </c>
      <c r="L271" s="17">
        <f t="shared" si="17"/>
        <v>0</v>
      </c>
      <c r="M271" s="2">
        <f t="shared" si="16"/>
        <v>0</v>
      </c>
      <c r="N271" s="17">
        <f t="shared" si="18"/>
        <v>0</v>
      </c>
      <c r="XEL271" s="8"/>
      <c r="XEM271" s="5"/>
      <c r="XEN271" s="3"/>
      <c r="XEO271" s="2"/>
    </row>
    <row r="272" spans="1:14 16357:16374" x14ac:dyDescent="0.25">
      <c r="A272" s="6">
        <v>221</v>
      </c>
      <c r="B272" s="8" t="s">
        <v>297</v>
      </c>
      <c r="C272" s="5" t="s">
        <v>357</v>
      </c>
      <c r="D272" s="3" t="s">
        <v>356</v>
      </c>
      <c r="E272" s="3"/>
      <c r="F272" s="2"/>
      <c r="J272" s="2">
        <v>1</v>
      </c>
      <c r="K272" s="2">
        <v>1</v>
      </c>
      <c r="L272" s="17">
        <f t="shared" si="17"/>
        <v>1.4261266400456359E-2</v>
      </c>
      <c r="M272" s="2">
        <f t="shared" si="16"/>
        <v>0</v>
      </c>
      <c r="N272" s="17">
        <f t="shared" si="18"/>
        <v>0</v>
      </c>
      <c r="XEL272" s="8"/>
      <c r="XEM272" s="5"/>
      <c r="XEN272" s="3"/>
      <c r="XEO272" s="2"/>
    </row>
    <row r="273" spans="1:14 16351:16370" x14ac:dyDescent="0.25">
      <c r="A273" s="6">
        <v>222</v>
      </c>
      <c r="B273" s="8" t="s">
        <v>30</v>
      </c>
      <c r="C273" s="5" t="s">
        <v>359</v>
      </c>
      <c r="D273" s="3" t="s">
        <v>358</v>
      </c>
      <c r="E273" s="3"/>
      <c r="F273" s="2"/>
      <c r="J273" s="2">
        <v>3</v>
      </c>
      <c r="K273" s="2">
        <v>3</v>
      </c>
      <c r="L273" s="17">
        <f t="shared" si="17"/>
        <v>4.2783799201369085E-2</v>
      </c>
      <c r="M273" s="2">
        <f t="shared" si="16"/>
        <v>0</v>
      </c>
      <c r="N273" s="17">
        <f t="shared" si="18"/>
        <v>0</v>
      </c>
      <c r="XEL273" s="8"/>
      <c r="XEM273" s="5"/>
      <c r="XEN273" s="3"/>
      <c r="XEO273" s="2"/>
    </row>
    <row r="274" spans="1:14 16351:16370" x14ac:dyDescent="0.25">
      <c r="A274" s="6">
        <v>223</v>
      </c>
      <c r="B274" s="1" t="s">
        <v>1</v>
      </c>
      <c r="C274" s="5" t="s">
        <v>361</v>
      </c>
      <c r="D274" s="3" t="s">
        <v>360</v>
      </c>
      <c r="E274" s="3"/>
      <c r="F274" s="2"/>
      <c r="J274" s="2">
        <v>2</v>
      </c>
      <c r="K274" s="2">
        <v>0</v>
      </c>
      <c r="L274" s="17">
        <f t="shared" si="17"/>
        <v>0</v>
      </c>
      <c r="M274" s="2">
        <f t="shared" si="16"/>
        <v>0</v>
      </c>
      <c r="N274" s="17">
        <f t="shared" si="18"/>
        <v>0</v>
      </c>
      <c r="XEM274" s="3"/>
      <c r="XEN274" s="5"/>
      <c r="XEO274" s="3"/>
      <c r="XEP274" s="2"/>
    </row>
    <row r="275" spans="1:14 16351:16370" x14ac:dyDescent="0.25">
      <c r="A275" s="6">
        <v>226</v>
      </c>
      <c r="B275" s="8" t="s">
        <v>12</v>
      </c>
      <c r="C275" s="5" t="s">
        <v>6</v>
      </c>
      <c r="D275" s="3" t="s">
        <v>366</v>
      </c>
      <c r="E275" s="3"/>
      <c r="F275" s="2"/>
      <c r="J275" s="2">
        <v>1</v>
      </c>
      <c r="K275" s="2">
        <v>1</v>
      </c>
      <c r="L275" s="17">
        <f t="shared" si="17"/>
        <v>1.4261266400456359E-2</v>
      </c>
      <c r="M275" s="2">
        <f t="shared" si="16"/>
        <v>0</v>
      </c>
      <c r="N275" s="17">
        <f t="shared" si="18"/>
        <v>0</v>
      </c>
      <c r="XEM275" s="8"/>
      <c r="XEN275" s="5"/>
      <c r="XEO275" s="3"/>
      <c r="XEP275" s="2"/>
    </row>
    <row r="276" spans="1:14 16351:16370" x14ac:dyDescent="0.25">
      <c r="A276" s="6">
        <v>229</v>
      </c>
      <c r="B276" s="1" t="s">
        <v>137</v>
      </c>
      <c r="C276" s="5" t="s">
        <v>371</v>
      </c>
      <c r="D276" s="3" t="s">
        <v>370</v>
      </c>
      <c r="E276" s="3"/>
      <c r="F276" s="2"/>
      <c r="J276" s="2">
        <v>2</v>
      </c>
      <c r="K276" s="2">
        <v>2</v>
      </c>
      <c r="L276" s="17">
        <f t="shared" si="17"/>
        <v>2.8522532800912718E-2</v>
      </c>
      <c r="M276" s="2">
        <f t="shared" si="16"/>
        <v>0</v>
      </c>
      <c r="N276" s="17">
        <f t="shared" si="18"/>
        <v>0</v>
      </c>
      <c r="XEA276" s="8"/>
      <c r="XEB276" s="5"/>
      <c r="XEC276" s="3"/>
      <c r="XED276" s="2"/>
      <c r="XEM276" s="8"/>
      <c r="XEN276" s="5"/>
      <c r="XEO276" s="3"/>
      <c r="XEP276" s="2"/>
    </row>
    <row r="277" spans="1:14 16351:16370" x14ac:dyDescent="0.25">
      <c r="B277" s="8" t="s">
        <v>5</v>
      </c>
      <c r="C277" s="5" t="s">
        <v>450</v>
      </c>
      <c r="D277" s="3" t="s">
        <v>452</v>
      </c>
      <c r="E277" s="3"/>
      <c r="K277" s="2">
        <v>2</v>
      </c>
      <c r="L277" s="17">
        <f t="shared" si="17"/>
        <v>2.8522532800912718E-2</v>
      </c>
      <c r="M277" s="2">
        <f t="shared" ref="M277:M308" si="19">SUM(O277:AP277)</f>
        <v>0</v>
      </c>
      <c r="N277" s="17">
        <f t="shared" si="18"/>
        <v>0</v>
      </c>
      <c r="XEM277" s="8"/>
      <c r="XEN277" s="5"/>
      <c r="XEO277" s="3"/>
      <c r="XEP277" s="2"/>
    </row>
    <row r="278" spans="1:14 16351:16370" x14ac:dyDescent="0.25">
      <c r="A278" s="6">
        <v>236</v>
      </c>
      <c r="B278" s="8" t="s">
        <v>0</v>
      </c>
      <c r="C278" s="5" t="s">
        <v>381</v>
      </c>
      <c r="D278" s="3" t="s">
        <v>380</v>
      </c>
      <c r="E278" s="3"/>
      <c r="F278" s="2"/>
      <c r="J278" s="2">
        <v>1</v>
      </c>
      <c r="K278" s="2">
        <v>2</v>
      </c>
      <c r="L278" s="17">
        <f t="shared" si="17"/>
        <v>2.8522532800912718E-2</v>
      </c>
      <c r="M278" s="2">
        <f t="shared" si="19"/>
        <v>0</v>
      </c>
      <c r="N278" s="17">
        <f t="shared" si="18"/>
        <v>0</v>
      </c>
      <c r="XEM278" s="8"/>
      <c r="XEN278" s="5"/>
      <c r="XEO278" s="3"/>
      <c r="XEP278" s="2"/>
    </row>
    <row r="279" spans="1:14 16351:16370" x14ac:dyDescent="0.25">
      <c r="A279" s="6">
        <v>238</v>
      </c>
      <c r="B279" s="8" t="s">
        <v>0</v>
      </c>
      <c r="C279" s="5" t="s">
        <v>6</v>
      </c>
      <c r="D279" s="3" t="s">
        <v>296</v>
      </c>
      <c r="E279" s="3"/>
      <c r="F279" s="2"/>
      <c r="J279" s="2">
        <v>1</v>
      </c>
      <c r="K279" s="2">
        <v>1</v>
      </c>
      <c r="L279" s="17">
        <f t="shared" si="17"/>
        <v>1.4261266400456359E-2</v>
      </c>
      <c r="M279" s="2">
        <f t="shared" si="19"/>
        <v>0</v>
      </c>
      <c r="N279" s="17">
        <f t="shared" si="18"/>
        <v>0</v>
      </c>
      <c r="XEM279" s="8"/>
      <c r="XEN279" s="5"/>
      <c r="XEO279" s="3"/>
      <c r="XEP279" s="2"/>
    </row>
    <row r="280" spans="1:14 16351:16370" x14ac:dyDescent="0.25">
      <c r="A280" s="6">
        <v>240</v>
      </c>
      <c r="B280" s="1" t="s">
        <v>1</v>
      </c>
      <c r="C280" s="5" t="s">
        <v>387</v>
      </c>
      <c r="D280" s="3" t="s">
        <v>386</v>
      </c>
      <c r="E280" s="3"/>
      <c r="F280" s="2"/>
      <c r="J280" s="2">
        <v>1</v>
      </c>
      <c r="K280" s="2">
        <v>0</v>
      </c>
      <c r="L280" s="17">
        <f t="shared" si="17"/>
        <v>0</v>
      </c>
      <c r="M280" s="2">
        <f t="shared" si="19"/>
        <v>0</v>
      </c>
      <c r="N280" s="17">
        <f t="shared" si="18"/>
        <v>0</v>
      </c>
      <c r="XEM280" s="8"/>
      <c r="XEN280" s="5"/>
      <c r="XEO280" s="3"/>
      <c r="XEP280" s="2"/>
    </row>
    <row r="281" spans="1:14 16351:16370" x14ac:dyDescent="0.25">
      <c r="A281" s="6">
        <v>30</v>
      </c>
      <c r="B281" s="8" t="s">
        <v>108</v>
      </c>
      <c r="C281" s="5" t="s">
        <v>47</v>
      </c>
      <c r="D281" s="3" t="s">
        <v>109</v>
      </c>
      <c r="E281" s="3"/>
      <c r="F281" s="2">
        <v>4</v>
      </c>
      <c r="G281" s="2">
        <v>13</v>
      </c>
      <c r="H281" s="2">
        <v>7</v>
      </c>
      <c r="I281" s="2">
        <v>4</v>
      </c>
      <c r="J281" s="2">
        <v>1</v>
      </c>
      <c r="K281" s="2">
        <v>2</v>
      </c>
      <c r="L281" s="17">
        <f t="shared" si="17"/>
        <v>2.8522532800912718E-2</v>
      </c>
      <c r="M281" s="2">
        <f t="shared" si="19"/>
        <v>0</v>
      </c>
      <c r="N281" s="17">
        <f t="shared" si="18"/>
        <v>0</v>
      </c>
      <c r="XEL281" s="8"/>
      <c r="XEM281" s="5"/>
      <c r="XEN281" s="3"/>
      <c r="XEO281" s="2"/>
    </row>
    <row r="282" spans="1:14 16351:16370" x14ac:dyDescent="0.25">
      <c r="B282" s="8" t="s">
        <v>3</v>
      </c>
      <c r="C282" s="5" t="s">
        <v>47</v>
      </c>
      <c r="D282" s="3" t="s">
        <v>456</v>
      </c>
      <c r="E282" s="3"/>
      <c r="F282" s="2"/>
      <c r="K282" s="2">
        <v>1</v>
      </c>
      <c r="L282" s="17">
        <f t="shared" si="17"/>
        <v>1.4261266400456359E-2</v>
      </c>
      <c r="M282" s="2">
        <f t="shared" si="19"/>
        <v>0</v>
      </c>
      <c r="N282" s="17">
        <f t="shared" si="18"/>
        <v>0</v>
      </c>
      <c r="XDW282" s="8"/>
      <c r="XDX282" s="5"/>
      <c r="XDY282" s="3"/>
      <c r="XDZ282" s="2"/>
      <c r="XEL282" s="8"/>
      <c r="XEM282" s="5"/>
      <c r="XEN282" s="3"/>
    </row>
    <row r="283" spans="1:14 16351:16370" x14ac:dyDescent="0.25">
      <c r="A283" s="6">
        <v>245</v>
      </c>
      <c r="B283" s="8" t="s">
        <v>229</v>
      </c>
      <c r="C283" s="1" t="s">
        <v>6</v>
      </c>
      <c r="D283" s="3" t="s">
        <v>394</v>
      </c>
      <c r="E283" s="3"/>
      <c r="F283" s="2"/>
      <c r="J283" s="2">
        <v>1</v>
      </c>
      <c r="K283" s="2">
        <v>0</v>
      </c>
      <c r="L283" s="17">
        <f t="shared" si="17"/>
        <v>0</v>
      </c>
      <c r="M283" s="2">
        <f t="shared" si="19"/>
        <v>0</v>
      </c>
      <c r="N283" s="17">
        <f t="shared" si="18"/>
        <v>0</v>
      </c>
      <c r="XEK283" s="8"/>
      <c r="XEL283" s="5"/>
      <c r="XEM283" s="3"/>
      <c r="XEN283" s="2"/>
    </row>
    <row r="284" spans="1:14 16351:16370" x14ac:dyDescent="0.25">
      <c r="B284" s="8" t="s">
        <v>20</v>
      </c>
      <c r="C284" s="5" t="s">
        <v>6</v>
      </c>
      <c r="D284" s="3" t="s">
        <v>455</v>
      </c>
      <c r="E284" s="3"/>
      <c r="F284" s="2"/>
      <c r="K284" s="2">
        <v>1</v>
      </c>
      <c r="L284" s="17">
        <f t="shared" si="17"/>
        <v>1.4261266400456359E-2</v>
      </c>
      <c r="M284" s="2">
        <f t="shared" si="19"/>
        <v>0</v>
      </c>
      <c r="N284" s="17">
        <f t="shared" si="18"/>
        <v>0</v>
      </c>
      <c r="XEK284" s="8"/>
      <c r="XEL284" s="5"/>
      <c r="XEM284" s="3"/>
      <c r="XEN284" s="2"/>
    </row>
    <row r="285" spans="1:14 16351:16370" x14ac:dyDescent="0.25">
      <c r="A285" s="6">
        <v>150</v>
      </c>
      <c r="B285" s="8" t="s">
        <v>20</v>
      </c>
      <c r="C285" s="5" t="s">
        <v>258</v>
      </c>
      <c r="D285" s="3" t="s">
        <v>259</v>
      </c>
      <c r="E285" s="3"/>
      <c r="J285" s="2">
        <v>5</v>
      </c>
      <c r="K285" s="2">
        <v>0</v>
      </c>
      <c r="L285" s="17">
        <f t="shared" si="17"/>
        <v>0</v>
      </c>
      <c r="M285" s="2">
        <f t="shared" si="19"/>
        <v>0</v>
      </c>
      <c r="N285" s="17">
        <f t="shared" si="18"/>
        <v>0</v>
      </c>
      <c r="XDW285" s="8"/>
      <c r="XDX285" s="5"/>
      <c r="XDY285" s="3"/>
      <c r="XDZ285" s="2"/>
      <c r="XEK285" s="8"/>
      <c r="XEL285" s="5"/>
      <c r="XEM285" s="3"/>
      <c r="XEN285" s="2"/>
    </row>
    <row r="286" spans="1:14 16351:16370" x14ac:dyDescent="0.25">
      <c r="A286" s="6">
        <v>254</v>
      </c>
      <c r="B286" s="8" t="s">
        <v>0</v>
      </c>
      <c r="C286" s="5" t="s">
        <v>96</v>
      </c>
      <c r="D286" s="3" t="s">
        <v>408</v>
      </c>
      <c r="E286" s="3"/>
      <c r="F286" s="2"/>
      <c r="K286" s="2">
        <v>2</v>
      </c>
      <c r="L286" s="17">
        <f t="shared" si="17"/>
        <v>2.8522532800912718E-2</v>
      </c>
      <c r="M286" s="2">
        <f t="shared" si="19"/>
        <v>0</v>
      </c>
      <c r="N286" s="17">
        <f t="shared" si="18"/>
        <v>0</v>
      </c>
      <c r="XDX286" s="8"/>
      <c r="XDY286" s="5"/>
      <c r="XDZ286" s="3"/>
      <c r="XEC286" s="8"/>
      <c r="XED286" s="5"/>
      <c r="XEE286" s="3"/>
      <c r="XEK286" s="8"/>
      <c r="XEL286" s="5"/>
      <c r="XEM286" s="3"/>
      <c r="XEN286" s="2"/>
    </row>
    <row r="287" spans="1:14 16351:16370" x14ac:dyDescent="0.25">
      <c r="A287" s="6">
        <v>255</v>
      </c>
      <c r="B287" s="8" t="s">
        <v>281</v>
      </c>
      <c r="C287" s="5" t="s">
        <v>411</v>
      </c>
      <c r="D287" s="3" t="s">
        <v>409</v>
      </c>
      <c r="E287" s="3"/>
      <c r="F287" s="2"/>
      <c r="K287" s="2">
        <v>1</v>
      </c>
      <c r="L287" s="17">
        <f t="shared" si="17"/>
        <v>1.4261266400456359E-2</v>
      </c>
      <c r="M287" s="2">
        <f t="shared" si="19"/>
        <v>0</v>
      </c>
      <c r="N287" s="17">
        <f t="shared" si="18"/>
        <v>0</v>
      </c>
      <c r="XEJ287" s="8"/>
      <c r="XEK287" s="5"/>
      <c r="XEL287" s="3"/>
      <c r="XEM287" s="2"/>
    </row>
    <row r="288" spans="1:14 16351:16370" x14ac:dyDescent="0.25">
      <c r="A288" s="6">
        <v>256</v>
      </c>
      <c r="B288" s="8" t="s">
        <v>281</v>
      </c>
      <c r="C288" s="5" t="s">
        <v>412</v>
      </c>
      <c r="D288" s="3" t="s">
        <v>410</v>
      </c>
      <c r="E288" s="3"/>
      <c r="K288" s="2">
        <v>1</v>
      </c>
      <c r="L288" s="17">
        <f t="shared" si="17"/>
        <v>1.4261266400456359E-2</v>
      </c>
      <c r="M288" s="2">
        <f t="shared" si="19"/>
        <v>0</v>
      </c>
      <c r="N288" s="17">
        <f t="shared" si="18"/>
        <v>0</v>
      </c>
      <c r="XDY288" s="8"/>
      <c r="XDZ288" s="5"/>
      <c r="XEA288" s="3"/>
      <c r="XEB288" s="2"/>
      <c r="XEI288" s="8"/>
      <c r="XEJ288" s="5"/>
      <c r="XEK288" s="3"/>
      <c r="XEL288" s="2"/>
    </row>
    <row r="289" spans="1:14 16290:16367" x14ac:dyDescent="0.25">
      <c r="A289" s="6">
        <v>257</v>
      </c>
      <c r="B289" s="8" t="s">
        <v>113</v>
      </c>
      <c r="C289" s="5" t="s">
        <v>6</v>
      </c>
      <c r="D289" s="3" t="s">
        <v>413</v>
      </c>
      <c r="E289" s="3"/>
      <c r="F289" s="2"/>
      <c r="K289" s="2">
        <v>6</v>
      </c>
      <c r="L289" s="17">
        <f t="shared" si="17"/>
        <v>8.5567598402738171E-2</v>
      </c>
      <c r="M289" s="2">
        <f t="shared" si="19"/>
        <v>0</v>
      </c>
      <c r="N289" s="17">
        <f t="shared" si="18"/>
        <v>0</v>
      </c>
      <c r="XEI289" s="8"/>
      <c r="XEJ289" s="5"/>
      <c r="XEK289" s="3"/>
      <c r="XEL289" s="2"/>
    </row>
    <row r="290" spans="1:14 16290:16367" x14ac:dyDescent="0.25">
      <c r="A290" s="6">
        <v>258</v>
      </c>
      <c r="B290" s="8" t="s">
        <v>7</v>
      </c>
      <c r="C290" s="5" t="s">
        <v>415</v>
      </c>
      <c r="D290" s="3" t="s">
        <v>414</v>
      </c>
      <c r="E290" s="3"/>
      <c r="F290" s="2"/>
      <c r="K290" s="2">
        <v>4</v>
      </c>
      <c r="L290" s="17">
        <f t="shared" si="17"/>
        <v>5.7045065601825436E-2</v>
      </c>
      <c r="M290" s="2">
        <f t="shared" si="19"/>
        <v>0</v>
      </c>
      <c r="N290" s="17">
        <f t="shared" si="18"/>
        <v>0</v>
      </c>
      <c r="XEJ290" s="8"/>
      <c r="XEK290" s="5"/>
      <c r="XEL290" s="3"/>
      <c r="XEM290" s="2"/>
    </row>
    <row r="291" spans="1:14 16290:16367" x14ac:dyDescent="0.25">
      <c r="A291" s="6">
        <v>259</v>
      </c>
      <c r="B291" s="8" t="s">
        <v>30</v>
      </c>
      <c r="C291" s="5" t="s">
        <v>421</v>
      </c>
      <c r="D291" s="3" t="s">
        <v>416</v>
      </c>
      <c r="E291" s="3"/>
      <c r="F291" s="2"/>
      <c r="K291" s="2">
        <v>1</v>
      </c>
      <c r="L291" s="17">
        <f t="shared" si="17"/>
        <v>1.4261266400456359E-2</v>
      </c>
      <c r="M291" s="2">
        <f t="shared" si="19"/>
        <v>0</v>
      </c>
      <c r="N291" s="17">
        <f t="shared" si="18"/>
        <v>0</v>
      </c>
      <c r="XDS291" s="8"/>
      <c r="XDT291" s="5"/>
      <c r="XDU291" s="3"/>
      <c r="XDV291" s="2"/>
      <c r="XEJ291" s="8"/>
      <c r="XEK291" s="5"/>
      <c r="XEL291" s="3"/>
      <c r="XEM291" s="2"/>
    </row>
    <row r="292" spans="1:14 16290:16367" x14ac:dyDescent="0.25">
      <c r="A292" s="6">
        <v>260</v>
      </c>
      <c r="B292" s="8" t="s">
        <v>30</v>
      </c>
      <c r="C292" s="5" t="s">
        <v>420</v>
      </c>
      <c r="D292" s="3" t="s">
        <v>417</v>
      </c>
      <c r="E292" s="3"/>
      <c r="K292" s="2">
        <v>1</v>
      </c>
      <c r="L292" s="17">
        <f t="shared" si="17"/>
        <v>1.4261266400456359E-2</v>
      </c>
      <c r="M292" s="2">
        <f t="shared" si="19"/>
        <v>0</v>
      </c>
      <c r="N292" s="17">
        <f t="shared" si="18"/>
        <v>0</v>
      </c>
      <c r="XDD292" s="8"/>
      <c r="XDE292" s="5"/>
      <c r="XDF292" s="3"/>
      <c r="XDG292" s="2"/>
      <c r="XDS292" s="8"/>
      <c r="XDT292" s="5"/>
      <c r="XDU292" s="3"/>
      <c r="XEJ292" s="8"/>
      <c r="XEK292" s="5"/>
      <c r="XEL292" s="3"/>
      <c r="XEM292" s="2"/>
    </row>
    <row r="293" spans="1:14 16290:16367" x14ac:dyDescent="0.25">
      <c r="A293" s="6">
        <v>261</v>
      </c>
      <c r="B293" s="8" t="s">
        <v>30</v>
      </c>
      <c r="C293" s="5" t="s">
        <v>419</v>
      </c>
      <c r="D293" s="3" t="s">
        <v>418</v>
      </c>
      <c r="E293" s="3"/>
      <c r="K293" s="2">
        <v>1</v>
      </c>
      <c r="L293" s="17">
        <f t="shared" si="17"/>
        <v>1.4261266400456359E-2</v>
      </c>
      <c r="M293" s="2">
        <f t="shared" si="19"/>
        <v>0</v>
      </c>
      <c r="N293" s="17">
        <f t="shared" si="18"/>
        <v>0</v>
      </c>
      <c r="XDZ293" s="8"/>
      <c r="XEA293" s="5"/>
      <c r="XEB293" s="3"/>
      <c r="XEJ293" s="8"/>
      <c r="XEK293" s="5"/>
      <c r="XEL293" s="3"/>
      <c r="XEM293" s="2"/>
    </row>
    <row r="294" spans="1:14 16290:16367" x14ac:dyDescent="0.25">
      <c r="A294" s="6">
        <v>262</v>
      </c>
      <c r="B294" s="8" t="s">
        <v>12</v>
      </c>
      <c r="C294" s="5" t="s">
        <v>425</v>
      </c>
      <c r="D294" s="3" t="s">
        <v>422</v>
      </c>
      <c r="E294" s="3"/>
      <c r="F294" s="2"/>
      <c r="K294" s="2">
        <v>1</v>
      </c>
      <c r="L294" s="17">
        <f t="shared" si="17"/>
        <v>1.4261266400456359E-2</v>
      </c>
      <c r="M294" s="2">
        <f t="shared" si="19"/>
        <v>0</v>
      </c>
      <c r="N294" s="17">
        <f t="shared" si="18"/>
        <v>0</v>
      </c>
      <c r="XEI294" s="3"/>
      <c r="XEJ294" s="5"/>
      <c r="XEK294" s="3"/>
      <c r="XEL294" s="2"/>
    </row>
    <row r="295" spans="1:14 16290:16367" x14ac:dyDescent="0.25">
      <c r="A295" s="6">
        <v>263</v>
      </c>
      <c r="B295" s="8" t="s">
        <v>12</v>
      </c>
      <c r="C295" s="5" t="s">
        <v>16</v>
      </c>
      <c r="D295" s="3" t="s">
        <v>423</v>
      </c>
      <c r="E295" s="3"/>
      <c r="K295" s="2">
        <v>1</v>
      </c>
      <c r="L295" s="17">
        <f t="shared" si="17"/>
        <v>1.4261266400456359E-2</v>
      </c>
      <c r="M295" s="2">
        <f t="shared" si="19"/>
        <v>0</v>
      </c>
      <c r="N295" s="17">
        <f t="shared" si="18"/>
        <v>0</v>
      </c>
      <c r="XEI295" s="8"/>
      <c r="XEJ295" s="5"/>
      <c r="XEK295" s="3"/>
      <c r="XEL295" s="2"/>
    </row>
    <row r="296" spans="1:14 16290:16367" x14ac:dyDescent="0.25">
      <c r="A296" s="6">
        <v>264</v>
      </c>
      <c r="B296" s="8" t="s">
        <v>12</v>
      </c>
      <c r="C296" s="5" t="s">
        <v>426</v>
      </c>
      <c r="D296" s="3" t="s">
        <v>424</v>
      </c>
      <c r="E296" s="3"/>
      <c r="K296" s="2">
        <v>1</v>
      </c>
      <c r="L296" s="17">
        <f t="shared" si="17"/>
        <v>1.4261266400456359E-2</v>
      </c>
      <c r="M296" s="2">
        <f t="shared" si="19"/>
        <v>0</v>
      </c>
      <c r="N296" s="17">
        <f t="shared" si="18"/>
        <v>0</v>
      </c>
      <c r="XEJ296" s="8"/>
      <c r="XEK296" s="5"/>
      <c r="XEL296" s="3"/>
      <c r="XEM296" s="2"/>
    </row>
    <row r="297" spans="1:14 16290:16367" x14ac:dyDescent="0.25">
      <c r="A297" s="6">
        <v>264</v>
      </c>
      <c r="B297" s="1" t="s">
        <v>1</v>
      </c>
      <c r="C297" s="5" t="s">
        <v>427</v>
      </c>
      <c r="D297" s="3" t="s">
        <v>389</v>
      </c>
      <c r="E297" s="3"/>
      <c r="F297" s="2"/>
      <c r="K297" s="2">
        <v>1</v>
      </c>
      <c r="L297" s="17">
        <f t="shared" si="17"/>
        <v>1.4261266400456359E-2</v>
      </c>
      <c r="M297" s="2">
        <f t="shared" si="19"/>
        <v>0</v>
      </c>
      <c r="N297" s="17">
        <f t="shared" si="18"/>
        <v>0</v>
      </c>
      <c r="XEH297" s="8"/>
      <c r="XEI297" s="5"/>
      <c r="XEJ297" s="3"/>
      <c r="XEK297" s="2"/>
    </row>
    <row r="298" spans="1:14 16290:16367" x14ac:dyDescent="0.25">
      <c r="B298" s="1" t="s">
        <v>1</v>
      </c>
      <c r="C298" s="5" t="s">
        <v>6</v>
      </c>
      <c r="D298" s="3" t="s">
        <v>430</v>
      </c>
      <c r="E298" s="3"/>
      <c r="F298" s="2"/>
      <c r="K298" s="2">
        <v>1</v>
      </c>
      <c r="L298" s="17">
        <f t="shared" si="17"/>
        <v>1.4261266400456359E-2</v>
      </c>
      <c r="M298" s="2">
        <f t="shared" si="19"/>
        <v>0</v>
      </c>
      <c r="N298" s="17">
        <f t="shared" si="18"/>
        <v>0</v>
      </c>
      <c r="XEH298" s="8"/>
      <c r="XEI298" s="5"/>
      <c r="XEJ298" s="3"/>
      <c r="XEK298" s="2"/>
    </row>
    <row r="299" spans="1:14 16290:16367" x14ac:dyDescent="0.25">
      <c r="B299" s="8" t="s">
        <v>0</v>
      </c>
      <c r="C299" s="5" t="s">
        <v>287</v>
      </c>
      <c r="D299" s="3" t="s">
        <v>93</v>
      </c>
      <c r="E299" s="3"/>
      <c r="F299" s="2"/>
      <c r="K299" s="2">
        <v>3</v>
      </c>
      <c r="L299" s="17">
        <f t="shared" si="17"/>
        <v>4.2783799201369085E-2</v>
      </c>
      <c r="M299" s="2">
        <f t="shared" si="19"/>
        <v>0</v>
      </c>
      <c r="N299" s="17">
        <f t="shared" si="18"/>
        <v>0</v>
      </c>
      <c r="XDJ299" s="8"/>
      <c r="XDK299" s="5"/>
      <c r="XDL299" s="3"/>
      <c r="XDM299" s="2"/>
      <c r="XEH299" s="8"/>
      <c r="XEI299" s="5"/>
      <c r="XEJ299" s="3"/>
    </row>
    <row r="300" spans="1:14 16290:16367" x14ac:dyDescent="0.25">
      <c r="A300" s="6">
        <v>214</v>
      </c>
      <c r="B300" s="8" t="s">
        <v>5</v>
      </c>
      <c r="C300" s="5" t="s">
        <v>345</v>
      </c>
      <c r="D300" s="3" t="s">
        <v>344</v>
      </c>
      <c r="E300" s="3"/>
      <c r="F300" s="2"/>
      <c r="J300" s="2">
        <v>3</v>
      </c>
      <c r="K300" s="2">
        <v>2</v>
      </c>
      <c r="L300" s="17">
        <f t="shared" si="17"/>
        <v>2.8522532800912718E-2</v>
      </c>
      <c r="M300" s="2">
        <f t="shared" si="19"/>
        <v>0</v>
      </c>
      <c r="N300" s="17">
        <f t="shared" si="18"/>
        <v>0</v>
      </c>
      <c r="XCL300" s="8"/>
      <c r="XCM300" s="5"/>
      <c r="XCN300" s="3"/>
      <c r="XCO300" s="2"/>
      <c r="XDJ300" s="8"/>
      <c r="XDK300" s="5"/>
      <c r="XDL300" s="3"/>
      <c r="XEH300" s="8"/>
      <c r="XEI300" s="5"/>
      <c r="XEJ300" s="3"/>
    </row>
    <row r="301" spans="1:14 16290:16367" x14ac:dyDescent="0.25">
      <c r="B301" s="3" t="s">
        <v>12</v>
      </c>
      <c r="C301" s="5" t="s">
        <v>6</v>
      </c>
      <c r="D301" s="3" t="s">
        <v>437</v>
      </c>
      <c r="E301" s="3"/>
      <c r="F301" s="2"/>
      <c r="K301" s="2">
        <v>1</v>
      </c>
      <c r="L301" s="17">
        <f t="shared" si="17"/>
        <v>1.4261266400456359E-2</v>
      </c>
      <c r="M301" s="2">
        <f t="shared" si="19"/>
        <v>0</v>
      </c>
      <c r="N301" s="17">
        <f t="shared" si="18"/>
        <v>0</v>
      </c>
      <c r="XBN301" s="8"/>
      <c r="XBO301" s="5"/>
      <c r="XBP301" s="3"/>
      <c r="XBQ301" s="2"/>
      <c r="XCL301" s="8"/>
      <c r="XCM301" s="5"/>
      <c r="XCN301" s="3"/>
      <c r="XDJ301" s="8"/>
      <c r="XDK301" s="5"/>
      <c r="XDL301" s="3"/>
      <c r="XEH301" s="8"/>
      <c r="XEI301" s="5"/>
      <c r="XEJ301" s="3"/>
    </row>
    <row r="302" spans="1:14 16290:16367" x14ac:dyDescent="0.25">
      <c r="B302" s="8" t="s">
        <v>7</v>
      </c>
      <c r="C302" s="5" t="s">
        <v>440</v>
      </c>
      <c r="D302" s="3" t="s">
        <v>441</v>
      </c>
      <c r="E302" s="3"/>
      <c r="F302" s="2"/>
      <c r="K302" s="2">
        <v>1</v>
      </c>
      <c r="L302" s="17">
        <f t="shared" si="17"/>
        <v>1.4261266400456359E-2</v>
      </c>
      <c r="M302" s="2">
        <f t="shared" si="19"/>
        <v>0</v>
      </c>
      <c r="N302" s="17">
        <f t="shared" si="18"/>
        <v>0</v>
      </c>
      <c r="XDO302" s="1"/>
      <c r="XDP302" s="5"/>
      <c r="XDQ302" s="3"/>
      <c r="XDR302" s="2"/>
      <c r="XEH302" s="1"/>
      <c r="XEI302" s="5"/>
      <c r="XEJ302" s="3"/>
      <c r="XEK302" s="2"/>
    </row>
    <row r="303" spans="1:14 16290:16367" x14ac:dyDescent="0.25">
      <c r="B303" s="8" t="s">
        <v>281</v>
      </c>
      <c r="C303" s="5" t="s">
        <v>443</v>
      </c>
      <c r="D303" s="3" t="s">
        <v>442</v>
      </c>
      <c r="E303" s="3"/>
      <c r="F303" s="2"/>
      <c r="K303" s="2">
        <v>1</v>
      </c>
      <c r="L303" s="17">
        <f t="shared" si="17"/>
        <v>1.4261266400456359E-2</v>
      </c>
      <c r="M303" s="2">
        <f t="shared" si="19"/>
        <v>0</v>
      </c>
      <c r="N303" s="17">
        <f t="shared" si="18"/>
        <v>0</v>
      </c>
      <c r="XCY303" s="8"/>
      <c r="XCZ303" s="5"/>
      <c r="XDA303" s="3"/>
      <c r="XDB303" s="2"/>
      <c r="XDN303" s="8"/>
      <c r="XDO303" s="5"/>
      <c r="XDP303" s="3"/>
      <c r="XEH303" s="8"/>
      <c r="XEI303" s="5"/>
      <c r="XEJ303" s="3"/>
      <c r="XEK303" s="2"/>
    </row>
    <row r="304" spans="1:14 16290:16367" x14ac:dyDescent="0.25">
      <c r="B304" s="8" t="s">
        <v>7</v>
      </c>
      <c r="C304" s="5" t="s">
        <v>445</v>
      </c>
      <c r="D304" s="3" t="s">
        <v>444</v>
      </c>
      <c r="E304" s="3"/>
      <c r="F304" s="2"/>
      <c r="K304" s="2">
        <v>1</v>
      </c>
      <c r="L304" s="17">
        <f t="shared" si="17"/>
        <v>1.4261266400456359E-2</v>
      </c>
      <c r="M304" s="2">
        <f t="shared" si="19"/>
        <v>0</v>
      </c>
      <c r="N304" s="17">
        <f t="shared" si="18"/>
        <v>0</v>
      </c>
      <c r="XEH304" s="8"/>
      <c r="XEI304" s="5"/>
      <c r="XEJ304" s="3"/>
      <c r="XEK304" s="2"/>
    </row>
    <row r="305" spans="1:14 16342:16382" x14ac:dyDescent="0.25">
      <c r="B305" s="8" t="s">
        <v>7</v>
      </c>
      <c r="C305" s="5" t="s">
        <v>447</v>
      </c>
      <c r="D305" s="3" t="s">
        <v>446</v>
      </c>
      <c r="E305" s="3"/>
      <c r="F305" s="2"/>
      <c r="K305" s="2">
        <v>2</v>
      </c>
      <c r="L305" s="17">
        <f t="shared" si="17"/>
        <v>2.8522532800912718E-2</v>
      </c>
      <c r="M305" s="2">
        <f t="shared" si="19"/>
        <v>0</v>
      </c>
      <c r="N305" s="17">
        <f t="shared" si="18"/>
        <v>0</v>
      </c>
      <c r="XEH305" s="8"/>
      <c r="XEI305" s="5"/>
      <c r="XEJ305" s="3"/>
      <c r="XEK305" s="2"/>
    </row>
    <row r="306" spans="1:14 16342:16382" x14ac:dyDescent="0.25">
      <c r="B306" s="8" t="s">
        <v>5</v>
      </c>
      <c r="C306" s="5" t="s">
        <v>431</v>
      </c>
      <c r="D306" s="3" t="s">
        <v>432</v>
      </c>
      <c r="E306" s="3"/>
      <c r="F306" s="2"/>
      <c r="K306" s="2">
        <v>1</v>
      </c>
      <c r="L306" s="17">
        <f t="shared" si="17"/>
        <v>1.4261266400456359E-2</v>
      </c>
      <c r="M306" s="2">
        <f t="shared" si="19"/>
        <v>0</v>
      </c>
      <c r="N306" s="17">
        <f t="shared" si="18"/>
        <v>0</v>
      </c>
      <c r="XEE306" s="8"/>
      <c r="XEF306" s="5"/>
      <c r="XEG306" s="3"/>
      <c r="XEH306" s="2"/>
      <c r="XEY306" s="8"/>
      <c r="XEZ306" s="5"/>
      <c r="XFA306" s="3"/>
      <c r="XFB306" s="2"/>
    </row>
    <row r="307" spans="1:14 16342:16382" x14ac:dyDescent="0.25">
      <c r="B307" s="8" t="s">
        <v>5</v>
      </c>
      <c r="C307" s="5" t="s">
        <v>201</v>
      </c>
      <c r="D307" s="3" t="s">
        <v>200</v>
      </c>
      <c r="E307" s="3"/>
      <c r="F307" s="2"/>
      <c r="K307" s="2">
        <v>3</v>
      </c>
      <c r="L307" s="17">
        <f t="shared" si="17"/>
        <v>4.2783799201369085E-2</v>
      </c>
      <c r="M307" s="2">
        <f t="shared" si="19"/>
        <v>0</v>
      </c>
      <c r="N307" s="17">
        <f t="shared" si="18"/>
        <v>0</v>
      </c>
      <c r="XEX307" s="8"/>
      <c r="XEY307" s="2"/>
      <c r="XEZ307" s="3"/>
      <c r="XFA307" s="2"/>
    </row>
    <row r="308" spans="1:14 16342:16382" x14ac:dyDescent="0.25">
      <c r="B308" s="8"/>
      <c r="C308" s="5" t="s">
        <v>6</v>
      </c>
      <c r="D308" s="3" t="s">
        <v>454</v>
      </c>
      <c r="E308" s="3"/>
      <c r="F308" s="2"/>
      <c r="K308" s="2">
        <v>1</v>
      </c>
      <c r="L308" s="17">
        <f t="shared" si="17"/>
        <v>1.4261266400456359E-2</v>
      </c>
      <c r="M308" s="2">
        <f t="shared" si="19"/>
        <v>0</v>
      </c>
      <c r="N308" s="17">
        <f t="shared" si="18"/>
        <v>0</v>
      </c>
      <c r="XEA308" s="8"/>
      <c r="XEB308" s="5"/>
      <c r="XEC308" s="3"/>
      <c r="XED308" s="2"/>
      <c r="XEH308" s="8"/>
      <c r="XEI308" s="5"/>
      <c r="XEJ308" s="3"/>
      <c r="XEX308" s="8"/>
      <c r="XEY308" s="5"/>
      <c r="XEZ308" s="3"/>
      <c r="XFA308" s="2"/>
    </row>
    <row r="309" spans="1:14 16342:16382" x14ac:dyDescent="0.25">
      <c r="B309" s="8" t="s">
        <v>20</v>
      </c>
      <c r="C309" s="5" t="s">
        <v>6</v>
      </c>
      <c r="D309" s="3" t="s">
        <v>454</v>
      </c>
      <c r="E309" s="3"/>
      <c r="F309" s="2"/>
      <c r="K309" s="2">
        <v>1</v>
      </c>
      <c r="L309" s="17">
        <f t="shared" si="17"/>
        <v>1.4261266400456359E-2</v>
      </c>
      <c r="M309" s="2">
        <f t="shared" ref="M309:M316" si="20">SUM(O309:AP309)</f>
        <v>0</v>
      </c>
      <c r="N309" s="17">
        <f t="shared" si="18"/>
        <v>0</v>
      </c>
      <c r="XEW309" s="1"/>
      <c r="XEX309" s="5"/>
      <c r="XEY309" s="3"/>
      <c r="XEZ309" s="2"/>
    </row>
    <row r="310" spans="1:14 16342:16382" x14ac:dyDescent="0.25">
      <c r="B310" s="8" t="s">
        <v>7</v>
      </c>
      <c r="C310" s="5" t="s">
        <v>458</v>
      </c>
      <c r="D310" s="3" t="s">
        <v>457</v>
      </c>
      <c r="E310" s="3"/>
      <c r="F310" s="2"/>
      <c r="K310" s="2">
        <v>1</v>
      </c>
      <c r="L310" s="17">
        <f t="shared" si="17"/>
        <v>1.4261266400456359E-2</v>
      </c>
      <c r="M310" s="2">
        <f t="shared" si="20"/>
        <v>0</v>
      </c>
      <c r="N310" s="17">
        <f t="shared" si="18"/>
        <v>0</v>
      </c>
      <c r="XEV310" s="8"/>
      <c r="XEW310" s="5"/>
      <c r="XEX310" s="3"/>
      <c r="XEY310" s="2"/>
    </row>
    <row r="311" spans="1:14 16342:16382" x14ac:dyDescent="0.25">
      <c r="A311" s="6">
        <v>197</v>
      </c>
      <c r="B311" s="8" t="s">
        <v>5</v>
      </c>
      <c r="C311" s="5" t="s">
        <v>319</v>
      </c>
      <c r="D311" s="3" t="s">
        <v>317</v>
      </c>
      <c r="E311" s="3"/>
      <c r="J311" s="2">
        <v>4</v>
      </c>
      <c r="K311" s="2">
        <v>1</v>
      </c>
      <c r="L311" s="17">
        <f t="shared" si="17"/>
        <v>1.4261266400456359E-2</v>
      </c>
      <c r="M311" s="2">
        <f t="shared" si="20"/>
        <v>0</v>
      </c>
      <c r="N311" s="17">
        <f t="shared" si="18"/>
        <v>0</v>
      </c>
      <c r="XEH311" s="8"/>
      <c r="XEI311" s="5"/>
      <c r="XEJ311" s="3"/>
      <c r="XEV311" s="8"/>
      <c r="XEW311" s="5"/>
      <c r="XEX311" s="3"/>
      <c r="XEY311" s="2"/>
    </row>
    <row r="312" spans="1:14 16342:16382" x14ac:dyDescent="0.25">
      <c r="B312" s="3" t="s">
        <v>32</v>
      </c>
      <c r="C312" s="5" t="s">
        <v>467</v>
      </c>
      <c r="D312" s="3" t="s">
        <v>93</v>
      </c>
      <c r="E312" s="3"/>
      <c r="F312" s="2"/>
      <c r="K312" s="2">
        <v>1</v>
      </c>
      <c r="L312" s="17">
        <f t="shared" si="17"/>
        <v>1.4261266400456359E-2</v>
      </c>
      <c r="M312" s="2">
        <f t="shared" si="20"/>
        <v>0</v>
      </c>
      <c r="N312" s="17">
        <f t="shared" si="18"/>
        <v>0</v>
      </c>
      <c r="XDN312" s="8"/>
      <c r="XDO312" s="5"/>
      <c r="XDP312" s="3"/>
      <c r="XDQ312" s="2"/>
      <c r="XDR312" s="8"/>
      <c r="XDS312" s="5"/>
      <c r="XDU312" s="2"/>
      <c r="XEB312" s="8"/>
      <c r="XEC312" s="5"/>
      <c r="XED312" s="3"/>
      <c r="XEF312" s="8"/>
      <c r="XEG312" s="5"/>
      <c r="XEV312" s="8"/>
      <c r="XEW312" s="5"/>
      <c r="XEX312" s="3"/>
      <c r="XEY312" s="2"/>
    </row>
    <row r="313" spans="1:14 16342:16382" x14ac:dyDescent="0.25">
      <c r="B313" s="8" t="s">
        <v>281</v>
      </c>
      <c r="C313" s="5" t="s">
        <v>470</v>
      </c>
      <c r="D313" s="3" t="s">
        <v>93</v>
      </c>
      <c r="E313" s="3"/>
      <c r="F313" s="2"/>
      <c r="K313" s="2">
        <v>2</v>
      </c>
      <c r="L313" s="17">
        <f t="shared" si="17"/>
        <v>2.8522532800912718E-2</v>
      </c>
      <c r="M313" s="2">
        <f t="shared" si="20"/>
        <v>0</v>
      </c>
      <c r="N313" s="17">
        <f t="shared" si="18"/>
        <v>0</v>
      </c>
      <c r="XDW313" s="8"/>
      <c r="XDX313" s="5"/>
      <c r="XDY313" s="3"/>
      <c r="XDZ313" s="2"/>
      <c r="XEV313" s="8"/>
      <c r="XEW313" s="5"/>
      <c r="XEX313" s="3"/>
      <c r="XEY313" s="2"/>
    </row>
    <row r="314" spans="1:14 16342:16382" x14ac:dyDescent="0.25">
      <c r="A314" s="6">
        <v>243</v>
      </c>
      <c r="B314" s="8" t="s">
        <v>3</v>
      </c>
      <c r="C314" s="5" t="s">
        <v>391</v>
      </c>
      <c r="D314" s="3" t="s">
        <v>390</v>
      </c>
      <c r="E314" s="3"/>
      <c r="F314" s="2"/>
      <c r="J314" s="2">
        <v>1</v>
      </c>
      <c r="K314" s="2">
        <v>1</v>
      </c>
      <c r="L314" s="17">
        <f t="shared" si="17"/>
        <v>1.4261266400456359E-2</v>
      </c>
      <c r="M314" s="2">
        <f t="shared" si="20"/>
        <v>0</v>
      </c>
      <c r="N314" s="17">
        <f t="shared" si="18"/>
        <v>0</v>
      </c>
      <c r="XDY314" s="8"/>
      <c r="XDZ314" s="5"/>
      <c r="XEA314" s="3"/>
      <c r="XEB314" s="2"/>
      <c r="XEF314" s="8"/>
      <c r="XEG314" s="5"/>
      <c r="XEH314" s="3"/>
      <c r="XEV314" s="8"/>
      <c r="XEW314" s="5"/>
      <c r="XEX314" s="3"/>
      <c r="XEY314" s="2"/>
    </row>
    <row r="315" spans="1:14 16342:16382" x14ac:dyDescent="0.25">
      <c r="A315" s="6">
        <v>135</v>
      </c>
      <c r="B315" s="8" t="s">
        <v>3</v>
      </c>
      <c r="C315" s="5" t="s">
        <v>6</v>
      </c>
      <c r="D315" s="3" t="s">
        <v>230</v>
      </c>
      <c r="E315" s="3"/>
      <c r="F315" s="2"/>
      <c r="G315" s="2"/>
      <c r="H315" s="2"/>
      <c r="I315" s="2"/>
      <c r="J315" s="2">
        <v>1</v>
      </c>
      <c r="K315" s="2">
        <v>0</v>
      </c>
      <c r="L315" s="17">
        <f t="shared" si="17"/>
        <v>0</v>
      </c>
      <c r="M315" s="2">
        <f t="shared" si="20"/>
        <v>0</v>
      </c>
      <c r="N315" s="17">
        <f t="shared" si="18"/>
        <v>0</v>
      </c>
      <c r="XEU315" s="8"/>
      <c r="XEV315" s="5"/>
      <c r="XEW315" s="3"/>
      <c r="XEX315" s="2"/>
    </row>
    <row r="316" spans="1:14 16342:16382" x14ac:dyDescent="0.25">
      <c r="A316" s="6">
        <v>235</v>
      </c>
      <c r="B316" s="8" t="s">
        <v>5</v>
      </c>
      <c r="C316" s="5" t="s">
        <v>45</v>
      </c>
      <c r="D316" s="3" t="s">
        <v>71</v>
      </c>
      <c r="E316" s="3"/>
      <c r="F316" s="2"/>
      <c r="J316" s="2">
        <v>1</v>
      </c>
      <c r="K316" s="2">
        <v>0</v>
      </c>
      <c r="L316" s="17">
        <f t="shared" si="17"/>
        <v>0</v>
      </c>
      <c r="M316" s="2">
        <f t="shared" si="20"/>
        <v>0</v>
      </c>
      <c r="N316" s="17">
        <f t="shared" si="18"/>
        <v>0</v>
      </c>
      <c r="XDP316" s="8"/>
      <c r="XDQ316" s="5"/>
      <c r="XDR316" s="3"/>
      <c r="XDS316" s="2"/>
      <c r="XDW316" s="8"/>
      <c r="XDX316" s="5"/>
      <c r="XDY316" s="3"/>
      <c r="XED316" s="8"/>
      <c r="XEE316" s="5"/>
      <c r="XEF316" s="3"/>
      <c r="XEU316" s="8"/>
      <c r="XEV316" s="5"/>
      <c r="XEW316" s="3"/>
      <c r="XEX316" s="2"/>
    </row>
    <row r="317" spans="1:14 16342:16382" x14ac:dyDescent="0.25">
      <c r="B317" s="3"/>
    </row>
    <row r="1048326" spans="24:33" x14ac:dyDescent="0.25">
      <c r="X1048326" s="16"/>
      <c r="AG1048326" s="16"/>
    </row>
  </sheetData>
  <autoFilter ref="A1:AP316" xr:uid="{00000000-0009-0000-0000-000000000000}">
    <sortState xmlns:xlrd2="http://schemas.microsoft.com/office/spreadsheetml/2017/richdata2" ref="A2:AO316">
      <sortCondition descending="1" ref="M1:M316"/>
    </sortState>
  </autoFilter>
  <conditionalFormatting sqref="C1 C5 C7:C8 C14:C15 C17:C20 C10:C11 C96">
    <cfRule type="duplicateValues" dxfId="455" priority="444"/>
  </conditionalFormatting>
  <conditionalFormatting sqref="C1 C5 C7:C8 C14:C15 C17:C20 C10:C11">
    <cfRule type="duplicateValues" dxfId="454" priority="445"/>
    <cfRule type="duplicateValues" dxfId="453" priority="448"/>
    <cfRule type="duplicateValues" dxfId="452" priority="447"/>
    <cfRule type="duplicateValues" dxfId="451" priority="446"/>
    <cfRule type="duplicateValues" dxfId="450" priority="452"/>
    <cfRule type="duplicateValues" dxfId="449" priority="453"/>
    <cfRule type="duplicateValues" dxfId="448" priority="454"/>
    <cfRule type="duplicateValues" dxfId="447" priority="449"/>
  </conditionalFormatting>
  <conditionalFormatting sqref="C77">
    <cfRule type="duplicateValues" dxfId="446" priority="362"/>
  </conditionalFormatting>
  <conditionalFormatting sqref="C78">
    <cfRule type="duplicateValues" dxfId="445" priority="429"/>
  </conditionalFormatting>
  <conditionalFormatting sqref="C124">
    <cfRule type="duplicateValues" dxfId="444" priority="224"/>
    <cfRule type="duplicateValues" dxfId="443" priority="220"/>
    <cfRule type="duplicateValues" dxfId="442" priority="221"/>
    <cfRule type="duplicateValues" dxfId="441" priority="219"/>
    <cfRule type="duplicateValues" dxfId="440" priority="222"/>
    <cfRule type="duplicateValues" dxfId="439" priority="223"/>
    <cfRule type="duplicateValues" dxfId="438" priority="225"/>
    <cfRule type="duplicateValues" dxfId="437" priority="226"/>
    <cfRule type="duplicateValues" dxfId="436" priority="227"/>
  </conditionalFormatting>
  <conditionalFormatting sqref="C216">
    <cfRule type="duplicateValues" dxfId="435" priority="211"/>
    <cfRule type="duplicateValues" dxfId="434" priority="210"/>
    <cfRule type="duplicateValues" dxfId="433" priority="212"/>
    <cfRule type="duplicateValues" dxfId="432" priority="208"/>
    <cfRule type="duplicateValues" dxfId="431" priority="209"/>
    <cfRule type="duplicateValues" dxfId="430" priority="216"/>
    <cfRule type="duplicateValues" dxfId="429" priority="215"/>
    <cfRule type="duplicateValues" dxfId="428" priority="214"/>
    <cfRule type="duplicateValues" dxfId="427" priority="213"/>
  </conditionalFormatting>
  <conditionalFormatting sqref="D20:E20 D18:E18">
    <cfRule type="duplicateValues" dxfId="426" priority="457"/>
    <cfRule type="duplicateValues" dxfId="425" priority="458"/>
  </conditionalFormatting>
  <conditionalFormatting sqref="D21:E22 D15:E15 D17:E17">
    <cfRule type="duplicateValues" dxfId="424" priority="456"/>
    <cfRule type="duplicateValues" dxfId="423" priority="455"/>
  </conditionalFormatting>
  <conditionalFormatting sqref="D23:E28">
    <cfRule type="duplicateValues" dxfId="422" priority="450"/>
    <cfRule type="duplicateValues" dxfId="421" priority="451"/>
  </conditionalFormatting>
  <conditionalFormatting sqref="D29:E32 D1:E14 D34:E37">
    <cfRule type="duplicateValues" dxfId="420" priority="460"/>
    <cfRule type="duplicateValues" dxfId="419" priority="459"/>
  </conditionalFormatting>
  <conditionalFormatting sqref="D33:E33">
    <cfRule type="duplicateValues" dxfId="418" priority="300"/>
    <cfRule type="duplicateValues" dxfId="417" priority="301"/>
  </conditionalFormatting>
  <conditionalFormatting sqref="D38:E38">
    <cfRule type="duplicateValues" dxfId="416" priority="462"/>
    <cfRule type="duplicateValues" dxfId="415" priority="461"/>
  </conditionalFormatting>
  <conditionalFormatting sqref="D39:E39">
    <cfRule type="duplicateValues" dxfId="414" priority="463"/>
    <cfRule type="duplicateValues" dxfId="413" priority="464"/>
  </conditionalFormatting>
  <conditionalFormatting sqref="D40:E40">
    <cfRule type="duplicateValues" dxfId="412" priority="466"/>
    <cfRule type="duplicateValues" dxfId="411" priority="465"/>
  </conditionalFormatting>
  <conditionalFormatting sqref="D41:E41">
    <cfRule type="duplicateValues" dxfId="410" priority="468"/>
    <cfRule type="duplicateValues" dxfId="409" priority="467"/>
  </conditionalFormatting>
  <conditionalFormatting sqref="D42:E43">
    <cfRule type="duplicateValues" dxfId="408" priority="470"/>
    <cfRule type="duplicateValues" dxfId="407" priority="469"/>
  </conditionalFormatting>
  <conditionalFormatting sqref="D48:E50">
    <cfRule type="duplicateValues" dxfId="406" priority="472"/>
    <cfRule type="duplicateValues" dxfId="405" priority="471"/>
  </conditionalFormatting>
  <conditionalFormatting sqref="D51:E51 D62:E62 D64:E64 D53:E54 D57:E57 D60:E60">
    <cfRule type="duplicateValues" dxfId="404" priority="442"/>
    <cfRule type="duplicateValues" dxfId="403" priority="443"/>
  </conditionalFormatting>
  <conditionalFormatting sqref="D65:E68 D59:E59 D56:E56 D52:E52">
    <cfRule type="duplicateValues" dxfId="402" priority="440"/>
    <cfRule type="duplicateValues" dxfId="401" priority="441"/>
  </conditionalFormatting>
  <conditionalFormatting sqref="D71:E71">
    <cfRule type="duplicateValues" dxfId="400" priority="438"/>
    <cfRule type="duplicateValues" dxfId="399" priority="439"/>
  </conditionalFormatting>
  <conditionalFormatting sqref="D72:E72">
    <cfRule type="duplicateValues" dxfId="398" priority="436"/>
    <cfRule type="duplicateValues" dxfId="397" priority="437"/>
  </conditionalFormatting>
  <conditionalFormatting sqref="D73:E73">
    <cfRule type="duplicateValues" dxfId="396" priority="434"/>
    <cfRule type="duplicateValues" dxfId="395" priority="435"/>
  </conditionalFormatting>
  <conditionalFormatting sqref="D74:E74">
    <cfRule type="duplicateValues" dxfId="394" priority="432"/>
    <cfRule type="duplicateValues" dxfId="393" priority="433"/>
  </conditionalFormatting>
  <conditionalFormatting sqref="D75:E75">
    <cfRule type="duplicateValues" dxfId="392" priority="430"/>
    <cfRule type="duplicateValues" dxfId="391" priority="431"/>
  </conditionalFormatting>
  <conditionalFormatting sqref="D79:E79">
    <cfRule type="duplicateValues" dxfId="390" priority="427"/>
    <cfRule type="duplicateValues" dxfId="389" priority="428"/>
  </conditionalFormatting>
  <conditionalFormatting sqref="D81:E81">
    <cfRule type="duplicateValues" dxfId="388" priority="426"/>
    <cfRule type="duplicateValues" dxfId="387" priority="425"/>
  </conditionalFormatting>
  <conditionalFormatting sqref="D82:E82">
    <cfRule type="duplicateValues" dxfId="386" priority="424"/>
    <cfRule type="duplicateValues" dxfId="385" priority="423"/>
  </conditionalFormatting>
  <conditionalFormatting sqref="D83:E83">
    <cfRule type="duplicateValues" dxfId="384" priority="422"/>
    <cfRule type="duplicateValues" dxfId="383" priority="421"/>
  </conditionalFormatting>
  <conditionalFormatting sqref="D84:E84">
    <cfRule type="duplicateValues" dxfId="382" priority="420"/>
    <cfRule type="duplicateValues" dxfId="381" priority="419"/>
  </conditionalFormatting>
  <conditionalFormatting sqref="D88:E88">
    <cfRule type="duplicateValues" dxfId="380" priority="418"/>
    <cfRule type="duplicateValues" dxfId="379" priority="417"/>
  </conditionalFormatting>
  <conditionalFormatting sqref="D89:E89">
    <cfRule type="duplicateValues" dxfId="378" priority="416"/>
    <cfRule type="duplicateValues" dxfId="377" priority="415"/>
  </conditionalFormatting>
  <conditionalFormatting sqref="D90:E90">
    <cfRule type="duplicateValues" dxfId="376" priority="413"/>
    <cfRule type="duplicateValues" dxfId="375" priority="414"/>
  </conditionalFormatting>
  <conditionalFormatting sqref="D91:E91">
    <cfRule type="duplicateValues" dxfId="374" priority="412"/>
    <cfRule type="duplicateValues" dxfId="373" priority="411"/>
  </conditionalFormatting>
  <conditionalFormatting sqref="D92:E92">
    <cfRule type="duplicateValues" dxfId="372" priority="410"/>
    <cfRule type="duplicateValues" dxfId="371" priority="409"/>
  </conditionalFormatting>
  <conditionalFormatting sqref="D93:E93">
    <cfRule type="duplicateValues" dxfId="370" priority="407"/>
    <cfRule type="duplicateValues" dxfId="369" priority="408"/>
  </conditionalFormatting>
  <conditionalFormatting sqref="D94:E94">
    <cfRule type="duplicateValues" dxfId="368" priority="406"/>
    <cfRule type="duplicateValues" dxfId="367" priority="405"/>
  </conditionalFormatting>
  <conditionalFormatting sqref="D98:E98">
    <cfRule type="duplicateValues" dxfId="366" priority="404"/>
    <cfRule type="duplicateValues" dxfId="365" priority="403"/>
  </conditionalFormatting>
  <conditionalFormatting sqref="D99:E99">
    <cfRule type="duplicateValues" dxfId="364" priority="402"/>
    <cfRule type="duplicateValues" dxfId="363" priority="401"/>
  </conditionalFormatting>
  <conditionalFormatting sqref="D101:E101">
    <cfRule type="duplicateValues" dxfId="362" priority="399"/>
    <cfRule type="duplicateValues" dxfId="361" priority="400"/>
  </conditionalFormatting>
  <conditionalFormatting sqref="D102:E102">
    <cfRule type="duplicateValues" dxfId="360" priority="398"/>
    <cfRule type="duplicateValues" dxfId="359" priority="397"/>
  </conditionalFormatting>
  <conditionalFormatting sqref="D103:E103">
    <cfRule type="duplicateValues" dxfId="358" priority="396"/>
    <cfRule type="duplicateValues" dxfId="357" priority="395"/>
  </conditionalFormatting>
  <conditionalFormatting sqref="D104:E104">
    <cfRule type="duplicateValues" dxfId="356" priority="394"/>
    <cfRule type="duplicateValues" dxfId="355" priority="393"/>
  </conditionalFormatting>
  <conditionalFormatting sqref="D105:E105">
    <cfRule type="duplicateValues" dxfId="354" priority="368"/>
    <cfRule type="duplicateValues" dxfId="353" priority="367"/>
  </conditionalFormatting>
  <conditionalFormatting sqref="D106:E106">
    <cfRule type="duplicateValues" dxfId="352" priority="372"/>
    <cfRule type="duplicateValues" dxfId="351" priority="371"/>
  </conditionalFormatting>
  <conditionalFormatting sqref="D107:E107">
    <cfRule type="duplicateValues" dxfId="350" priority="392"/>
    <cfRule type="duplicateValues" dxfId="349" priority="391"/>
  </conditionalFormatting>
  <conditionalFormatting sqref="D108:E108">
    <cfRule type="duplicateValues" dxfId="348" priority="390"/>
    <cfRule type="duplicateValues" dxfId="347" priority="389"/>
  </conditionalFormatting>
  <conditionalFormatting sqref="D109:E109">
    <cfRule type="duplicateValues" dxfId="346" priority="388"/>
    <cfRule type="duplicateValues" dxfId="345" priority="387"/>
  </conditionalFormatting>
  <conditionalFormatting sqref="D110:E110">
    <cfRule type="duplicateValues" dxfId="344" priority="386"/>
    <cfRule type="duplicateValues" dxfId="343" priority="385"/>
  </conditionalFormatting>
  <conditionalFormatting sqref="D111:E111">
    <cfRule type="duplicateValues" dxfId="342" priority="384"/>
    <cfRule type="duplicateValues" dxfId="341" priority="383"/>
  </conditionalFormatting>
  <conditionalFormatting sqref="D112:E112">
    <cfRule type="duplicateValues" dxfId="340" priority="382"/>
    <cfRule type="duplicateValues" dxfId="339" priority="381"/>
  </conditionalFormatting>
  <conditionalFormatting sqref="D113:E113">
    <cfRule type="duplicateValues" dxfId="338" priority="380"/>
    <cfRule type="duplicateValues" dxfId="337" priority="379"/>
  </conditionalFormatting>
  <conditionalFormatting sqref="D114:E114">
    <cfRule type="duplicateValues" dxfId="336" priority="366"/>
    <cfRule type="duplicateValues" dxfId="335" priority="365"/>
  </conditionalFormatting>
  <conditionalFormatting sqref="D115:E115">
    <cfRule type="duplicateValues" dxfId="334" priority="377"/>
    <cfRule type="duplicateValues" dxfId="333" priority="378"/>
  </conditionalFormatting>
  <conditionalFormatting sqref="D117:E117">
    <cfRule type="duplicateValues" dxfId="332" priority="373"/>
    <cfRule type="duplicateValues" dxfId="331" priority="374"/>
  </conditionalFormatting>
  <conditionalFormatting sqref="D119:E119">
    <cfRule type="duplicateValues" dxfId="330" priority="369"/>
    <cfRule type="duplicateValues" dxfId="329" priority="370"/>
  </conditionalFormatting>
  <conditionalFormatting sqref="D120:E120">
    <cfRule type="duplicateValues" dxfId="328" priority="363"/>
    <cfRule type="duplicateValues" dxfId="327" priority="364"/>
  </conditionalFormatting>
  <conditionalFormatting sqref="D124:E124">
    <cfRule type="duplicateValues" dxfId="326" priority="229"/>
    <cfRule type="duplicateValues" dxfId="325" priority="228"/>
  </conditionalFormatting>
  <conditionalFormatting sqref="D125:E125">
    <cfRule type="duplicateValues" dxfId="324" priority="361"/>
    <cfRule type="duplicateValues" dxfId="323" priority="360"/>
  </conditionalFormatting>
  <conditionalFormatting sqref="D127:E127">
    <cfRule type="duplicateValues" dxfId="322" priority="358"/>
    <cfRule type="duplicateValues" dxfId="321" priority="359"/>
  </conditionalFormatting>
  <conditionalFormatting sqref="D128:E128">
    <cfRule type="duplicateValues" dxfId="320" priority="327"/>
    <cfRule type="duplicateValues" dxfId="319" priority="326"/>
  </conditionalFormatting>
  <conditionalFormatting sqref="D129:E129">
    <cfRule type="duplicateValues" dxfId="318" priority="356"/>
    <cfRule type="duplicateValues" dxfId="317" priority="357"/>
  </conditionalFormatting>
  <conditionalFormatting sqref="D130:E130">
    <cfRule type="duplicateValues" dxfId="316" priority="354"/>
    <cfRule type="duplicateValues" dxfId="315" priority="355"/>
  </conditionalFormatting>
  <conditionalFormatting sqref="D131:E131">
    <cfRule type="duplicateValues" dxfId="314" priority="352"/>
    <cfRule type="duplicateValues" dxfId="313" priority="353"/>
  </conditionalFormatting>
  <conditionalFormatting sqref="D132:E132">
    <cfRule type="duplicateValues" dxfId="312" priority="351"/>
    <cfRule type="duplicateValues" dxfId="311" priority="350"/>
  </conditionalFormatting>
  <conditionalFormatting sqref="D133:E133">
    <cfRule type="duplicateValues" dxfId="310" priority="349"/>
    <cfRule type="duplicateValues" dxfId="309" priority="348"/>
  </conditionalFormatting>
  <conditionalFormatting sqref="D134:E134">
    <cfRule type="duplicateValues" dxfId="308" priority="347"/>
    <cfRule type="duplicateValues" dxfId="307" priority="346"/>
  </conditionalFormatting>
  <conditionalFormatting sqref="D135:E135">
    <cfRule type="duplicateValues" dxfId="306" priority="345"/>
    <cfRule type="duplicateValues" dxfId="305" priority="344"/>
  </conditionalFormatting>
  <conditionalFormatting sqref="D136:E136">
    <cfRule type="duplicateValues" dxfId="304" priority="343"/>
    <cfRule type="duplicateValues" dxfId="303" priority="342"/>
  </conditionalFormatting>
  <conditionalFormatting sqref="D137:E137">
    <cfRule type="duplicateValues" dxfId="302" priority="340"/>
    <cfRule type="duplicateValues" dxfId="301" priority="341"/>
  </conditionalFormatting>
  <conditionalFormatting sqref="D140:E140">
    <cfRule type="duplicateValues" dxfId="300" priority="338"/>
    <cfRule type="duplicateValues" dxfId="299" priority="339"/>
  </conditionalFormatting>
  <conditionalFormatting sqref="D141:E141">
    <cfRule type="duplicateValues" dxfId="298" priority="337"/>
    <cfRule type="duplicateValues" dxfId="297" priority="336"/>
  </conditionalFormatting>
  <conditionalFormatting sqref="D142:E142">
    <cfRule type="duplicateValues" dxfId="296" priority="335"/>
    <cfRule type="duplicateValues" dxfId="295" priority="334"/>
  </conditionalFormatting>
  <conditionalFormatting sqref="D145:E145">
    <cfRule type="duplicateValues" dxfId="294" priority="333"/>
    <cfRule type="duplicateValues" dxfId="293" priority="332"/>
  </conditionalFormatting>
  <conditionalFormatting sqref="D146:E146">
    <cfRule type="duplicateValues" dxfId="292" priority="331"/>
    <cfRule type="duplicateValues" dxfId="291" priority="330"/>
  </conditionalFormatting>
  <conditionalFormatting sqref="D147:E147">
    <cfRule type="duplicateValues" dxfId="290" priority="328"/>
    <cfRule type="duplicateValues" dxfId="289" priority="329"/>
  </conditionalFormatting>
  <conditionalFormatting sqref="D148:E148">
    <cfRule type="duplicateValues" dxfId="288" priority="324"/>
    <cfRule type="duplicateValues" dxfId="287" priority="325"/>
  </conditionalFormatting>
  <conditionalFormatting sqref="D149:E149">
    <cfRule type="duplicateValues" dxfId="286" priority="323"/>
    <cfRule type="duplicateValues" dxfId="285" priority="322"/>
  </conditionalFormatting>
  <conditionalFormatting sqref="D150:E150">
    <cfRule type="duplicateValues" dxfId="284" priority="321"/>
    <cfRule type="duplicateValues" dxfId="283" priority="320"/>
  </conditionalFormatting>
  <conditionalFormatting sqref="D151:E151">
    <cfRule type="duplicateValues" dxfId="282" priority="318"/>
    <cfRule type="duplicateValues" dxfId="281" priority="319"/>
  </conditionalFormatting>
  <conditionalFormatting sqref="D156:E156">
    <cfRule type="duplicateValues" dxfId="280" priority="316"/>
    <cfRule type="duplicateValues" dxfId="279" priority="317"/>
  </conditionalFormatting>
  <conditionalFormatting sqref="D157:E157">
    <cfRule type="duplicateValues" dxfId="278" priority="314"/>
    <cfRule type="duplicateValues" dxfId="277" priority="315"/>
  </conditionalFormatting>
  <conditionalFormatting sqref="D158:E158">
    <cfRule type="duplicateValues" dxfId="276" priority="313"/>
    <cfRule type="duplicateValues" dxfId="275" priority="312"/>
  </conditionalFormatting>
  <conditionalFormatting sqref="D159:E159">
    <cfRule type="duplicateValues" dxfId="274" priority="311"/>
    <cfRule type="duplicateValues" dxfId="273" priority="310"/>
  </conditionalFormatting>
  <conditionalFormatting sqref="D160:E160">
    <cfRule type="duplicateValues" dxfId="272" priority="309"/>
    <cfRule type="duplicateValues" dxfId="271" priority="308"/>
  </conditionalFormatting>
  <conditionalFormatting sqref="D163:E163">
    <cfRule type="duplicateValues" dxfId="270" priority="304"/>
    <cfRule type="duplicateValues" dxfId="269" priority="305"/>
  </conditionalFormatting>
  <conditionalFormatting sqref="D164:E164">
    <cfRule type="duplicateValues" dxfId="268" priority="177"/>
    <cfRule type="duplicateValues" dxfId="267" priority="176"/>
  </conditionalFormatting>
  <conditionalFormatting sqref="D166:E166">
    <cfRule type="duplicateValues" dxfId="266" priority="292"/>
    <cfRule type="duplicateValues" dxfId="265" priority="293"/>
  </conditionalFormatting>
  <conditionalFormatting sqref="D167:E167">
    <cfRule type="duplicateValues" dxfId="264" priority="265"/>
    <cfRule type="duplicateValues" dxfId="263" priority="264"/>
  </conditionalFormatting>
  <conditionalFormatting sqref="D168:E168">
    <cfRule type="duplicateValues" dxfId="262" priority="269"/>
    <cfRule type="duplicateValues" dxfId="261" priority="268"/>
  </conditionalFormatting>
  <conditionalFormatting sqref="D171:E171">
    <cfRule type="duplicateValues" dxfId="260" priority="299"/>
    <cfRule type="duplicateValues" dxfId="259" priority="298"/>
  </conditionalFormatting>
  <conditionalFormatting sqref="D174:E174">
    <cfRule type="duplicateValues" dxfId="258" priority="307"/>
    <cfRule type="duplicateValues" dxfId="257" priority="306"/>
  </conditionalFormatting>
  <conditionalFormatting sqref="D175:E175">
    <cfRule type="duplicateValues" dxfId="256" priority="302"/>
    <cfRule type="duplicateValues" dxfId="255" priority="303"/>
  </conditionalFormatting>
  <conditionalFormatting sqref="D176:E176 D118:E118 D63:E63 D58:E58 D55:E55 D44:E47">
    <cfRule type="duplicateValues" dxfId="254" priority="1"/>
    <cfRule type="duplicateValues" dxfId="253" priority="2"/>
  </conditionalFormatting>
  <conditionalFormatting sqref="D177:E177">
    <cfRule type="duplicateValues" dxfId="252" priority="295"/>
    <cfRule type="duplicateValues" dxfId="251" priority="294"/>
  </conditionalFormatting>
  <conditionalFormatting sqref="D180:E180">
    <cfRule type="duplicateValues" dxfId="250" priority="291"/>
    <cfRule type="duplicateValues" dxfId="249" priority="290"/>
  </conditionalFormatting>
  <conditionalFormatting sqref="D182:E182">
    <cfRule type="duplicateValues" dxfId="248" priority="289"/>
    <cfRule type="duplicateValues" dxfId="247" priority="288"/>
  </conditionalFormatting>
  <conditionalFormatting sqref="D183:E183">
    <cfRule type="duplicateValues" dxfId="246" priority="287"/>
    <cfRule type="duplicateValues" dxfId="245" priority="286"/>
  </conditionalFormatting>
  <conditionalFormatting sqref="D184:E184">
    <cfRule type="duplicateValues" dxfId="244" priority="284"/>
    <cfRule type="duplicateValues" dxfId="243" priority="285"/>
  </conditionalFormatting>
  <conditionalFormatting sqref="D185:E185">
    <cfRule type="duplicateValues" dxfId="242" priority="283"/>
    <cfRule type="duplicateValues" dxfId="241" priority="282"/>
  </conditionalFormatting>
  <conditionalFormatting sqref="D186:E186">
    <cfRule type="duplicateValues" dxfId="240" priority="281"/>
    <cfRule type="duplicateValues" dxfId="239" priority="280"/>
  </conditionalFormatting>
  <conditionalFormatting sqref="D187:E187">
    <cfRule type="duplicateValues" dxfId="238" priority="279"/>
    <cfRule type="duplicateValues" dxfId="237" priority="278"/>
  </conditionalFormatting>
  <conditionalFormatting sqref="D188:E188">
    <cfRule type="duplicateValues" dxfId="236" priority="276"/>
    <cfRule type="duplicateValues" dxfId="235" priority="277"/>
  </conditionalFormatting>
  <conditionalFormatting sqref="D189:E189">
    <cfRule type="duplicateValues" dxfId="234" priority="275"/>
    <cfRule type="duplicateValues" dxfId="233" priority="274"/>
  </conditionalFormatting>
  <conditionalFormatting sqref="D190:E190">
    <cfRule type="duplicateValues" dxfId="232" priority="273"/>
    <cfRule type="duplicateValues" dxfId="231" priority="272"/>
  </conditionalFormatting>
  <conditionalFormatting sqref="D191:E191">
    <cfRule type="duplicateValues" dxfId="230" priority="271"/>
    <cfRule type="duplicateValues" dxfId="229" priority="270"/>
  </conditionalFormatting>
  <conditionalFormatting sqref="D195:E195">
    <cfRule type="duplicateValues" dxfId="228" priority="267"/>
    <cfRule type="duplicateValues" dxfId="227" priority="266"/>
  </conditionalFormatting>
  <conditionalFormatting sqref="D196:E196">
    <cfRule type="duplicateValues" dxfId="226" priority="263"/>
    <cfRule type="duplicateValues" dxfId="225" priority="262"/>
  </conditionalFormatting>
  <conditionalFormatting sqref="D197:E197">
    <cfRule type="duplicateValues" dxfId="224" priority="260"/>
    <cfRule type="duplicateValues" dxfId="223" priority="261"/>
  </conditionalFormatting>
  <conditionalFormatting sqref="D198:E198">
    <cfRule type="duplicateValues" dxfId="222" priority="258"/>
    <cfRule type="duplicateValues" dxfId="221" priority="259"/>
  </conditionalFormatting>
  <conditionalFormatting sqref="D199:E199">
    <cfRule type="duplicateValues" dxfId="220" priority="256"/>
    <cfRule type="duplicateValues" dxfId="219" priority="257"/>
  </conditionalFormatting>
  <conditionalFormatting sqref="D200:E200">
    <cfRule type="duplicateValues" dxfId="218" priority="254"/>
    <cfRule type="duplicateValues" dxfId="217" priority="255"/>
  </conditionalFormatting>
  <conditionalFormatting sqref="D201:E201">
    <cfRule type="duplicateValues" dxfId="216" priority="252"/>
    <cfRule type="duplicateValues" dxfId="215" priority="253"/>
  </conditionalFormatting>
  <conditionalFormatting sqref="D202:E202">
    <cfRule type="duplicateValues" dxfId="214" priority="250"/>
    <cfRule type="duplicateValues" dxfId="213" priority="251"/>
  </conditionalFormatting>
  <conditionalFormatting sqref="D203:E203">
    <cfRule type="duplicateValues" dxfId="212" priority="248"/>
    <cfRule type="duplicateValues" dxfId="211" priority="249"/>
  </conditionalFormatting>
  <conditionalFormatting sqref="D204:E204">
    <cfRule type="duplicateValues" dxfId="210" priority="246"/>
    <cfRule type="duplicateValues" dxfId="209" priority="247"/>
  </conditionalFormatting>
  <conditionalFormatting sqref="D205:E205">
    <cfRule type="duplicateValues" dxfId="208" priority="244"/>
    <cfRule type="duplicateValues" dxfId="207" priority="245"/>
  </conditionalFormatting>
  <conditionalFormatting sqref="D206:E206">
    <cfRule type="duplicateValues" dxfId="206" priority="243"/>
    <cfRule type="duplicateValues" dxfId="205" priority="242"/>
  </conditionalFormatting>
  <conditionalFormatting sqref="D207:E207">
    <cfRule type="duplicateValues" dxfId="204" priority="240"/>
    <cfRule type="duplicateValues" dxfId="203" priority="241"/>
  </conditionalFormatting>
  <conditionalFormatting sqref="D209:E209">
    <cfRule type="duplicateValues" dxfId="202" priority="238"/>
    <cfRule type="duplicateValues" dxfId="201" priority="239"/>
  </conditionalFormatting>
  <conditionalFormatting sqref="D211:E211">
    <cfRule type="duplicateValues" dxfId="200" priority="236"/>
    <cfRule type="duplicateValues" dxfId="199" priority="237"/>
  </conditionalFormatting>
  <conditionalFormatting sqref="D213:E213">
    <cfRule type="duplicateValues" dxfId="198" priority="234"/>
    <cfRule type="duplicateValues" dxfId="197" priority="235"/>
  </conditionalFormatting>
  <conditionalFormatting sqref="D214:E214">
    <cfRule type="duplicateValues" dxfId="196" priority="233"/>
    <cfRule type="duplicateValues" dxfId="195" priority="232"/>
  </conditionalFormatting>
  <conditionalFormatting sqref="D215:E215">
    <cfRule type="duplicateValues" dxfId="194" priority="231"/>
    <cfRule type="duplicateValues" dxfId="193" priority="230"/>
  </conditionalFormatting>
  <conditionalFormatting sqref="D216:E216">
    <cfRule type="duplicateValues" dxfId="192" priority="218"/>
    <cfRule type="duplicateValues" dxfId="191" priority="217"/>
  </conditionalFormatting>
  <conditionalFormatting sqref="D217:E217">
    <cfRule type="duplicateValues" dxfId="190" priority="207"/>
    <cfRule type="duplicateValues" dxfId="189" priority="206"/>
  </conditionalFormatting>
  <conditionalFormatting sqref="D218:E218">
    <cfRule type="duplicateValues" dxfId="188" priority="205"/>
    <cfRule type="duplicateValues" dxfId="187" priority="204"/>
  </conditionalFormatting>
  <conditionalFormatting sqref="D219:E219">
    <cfRule type="duplicateValues" dxfId="186" priority="203"/>
    <cfRule type="duplicateValues" dxfId="185" priority="202"/>
  </conditionalFormatting>
  <conditionalFormatting sqref="D220:E220">
    <cfRule type="duplicateValues" dxfId="184" priority="200"/>
    <cfRule type="duplicateValues" dxfId="183" priority="201"/>
  </conditionalFormatting>
  <conditionalFormatting sqref="D221:E221">
    <cfRule type="duplicateValues" dxfId="182" priority="199"/>
    <cfRule type="duplicateValues" dxfId="181" priority="198"/>
  </conditionalFormatting>
  <conditionalFormatting sqref="D222:E222">
    <cfRule type="duplicateValues" dxfId="180" priority="196"/>
    <cfRule type="duplicateValues" dxfId="179" priority="197"/>
  </conditionalFormatting>
  <conditionalFormatting sqref="D223:E223">
    <cfRule type="duplicateValues" dxfId="178" priority="195"/>
    <cfRule type="duplicateValues" dxfId="177" priority="194"/>
  </conditionalFormatting>
  <conditionalFormatting sqref="D225:E225">
    <cfRule type="duplicateValues" dxfId="176" priority="193"/>
    <cfRule type="duplicateValues" dxfId="175" priority="192"/>
  </conditionalFormatting>
  <conditionalFormatting sqref="D226:E226">
    <cfRule type="duplicateValues" dxfId="174" priority="191"/>
    <cfRule type="duplicateValues" dxfId="173" priority="190"/>
  </conditionalFormatting>
  <conditionalFormatting sqref="D227:E227">
    <cfRule type="duplicateValues" dxfId="172" priority="188"/>
    <cfRule type="duplicateValues" dxfId="171" priority="189"/>
  </conditionalFormatting>
  <conditionalFormatting sqref="D228:E228">
    <cfRule type="duplicateValues" dxfId="170" priority="186"/>
    <cfRule type="duplicateValues" dxfId="169" priority="187"/>
  </conditionalFormatting>
  <conditionalFormatting sqref="D229:E229">
    <cfRule type="duplicateValues" dxfId="168" priority="184"/>
    <cfRule type="duplicateValues" dxfId="167" priority="185"/>
  </conditionalFormatting>
  <conditionalFormatting sqref="D230:E230">
    <cfRule type="duplicateValues" dxfId="166" priority="182"/>
    <cfRule type="duplicateValues" dxfId="165" priority="183"/>
  </conditionalFormatting>
  <conditionalFormatting sqref="D232:E232">
    <cfRule type="duplicateValues" dxfId="164" priority="180"/>
    <cfRule type="duplicateValues" dxfId="163" priority="181"/>
  </conditionalFormatting>
  <conditionalFormatting sqref="D233:E233">
    <cfRule type="duplicateValues" dxfId="162" priority="178"/>
    <cfRule type="duplicateValues" dxfId="161" priority="179"/>
  </conditionalFormatting>
  <conditionalFormatting sqref="D234:E234">
    <cfRule type="duplicateValues" dxfId="160" priority="174"/>
    <cfRule type="duplicateValues" dxfId="159" priority="175"/>
  </conditionalFormatting>
  <conditionalFormatting sqref="D235:E235">
    <cfRule type="duplicateValues" dxfId="158" priority="173"/>
    <cfRule type="duplicateValues" dxfId="157" priority="172"/>
  </conditionalFormatting>
  <conditionalFormatting sqref="D236:E236">
    <cfRule type="duplicateValues" dxfId="156" priority="171"/>
    <cfRule type="duplicateValues" dxfId="155" priority="170"/>
  </conditionalFormatting>
  <conditionalFormatting sqref="D238:E238">
    <cfRule type="duplicateValues" dxfId="154" priority="169"/>
    <cfRule type="duplicateValues" dxfId="153" priority="168"/>
  </conditionalFormatting>
  <conditionalFormatting sqref="D239:E239">
    <cfRule type="duplicateValues" dxfId="152" priority="167"/>
    <cfRule type="duplicateValues" dxfId="151" priority="166"/>
  </conditionalFormatting>
  <conditionalFormatting sqref="D241:E241">
    <cfRule type="duplicateValues" dxfId="150" priority="165"/>
    <cfRule type="duplicateValues" dxfId="149" priority="164"/>
  </conditionalFormatting>
  <conditionalFormatting sqref="D243:E243">
    <cfRule type="duplicateValues" dxfId="148" priority="163"/>
    <cfRule type="duplicateValues" dxfId="147" priority="162"/>
  </conditionalFormatting>
  <conditionalFormatting sqref="D244:E244">
    <cfRule type="duplicateValues" dxfId="146" priority="161"/>
    <cfRule type="duplicateValues" dxfId="145" priority="160"/>
  </conditionalFormatting>
  <conditionalFormatting sqref="D245:E245">
    <cfRule type="duplicateValues" dxfId="144" priority="159"/>
    <cfRule type="duplicateValues" dxfId="143" priority="158"/>
  </conditionalFormatting>
  <conditionalFormatting sqref="D246:E246">
    <cfRule type="duplicateValues" dxfId="142" priority="157"/>
    <cfRule type="duplicateValues" dxfId="141" priority="156"/>
  </conditionalFormatting>
  <conditionalFormatting sqref="D247:E247">
    <cfRule type="duplicateValues" dxfId="140" priority="155"/>
    <cfRule type="duplicateValues" dxfId="139" priority="154"/>
  </conditionalFormatting>
  <conditionalFormatting sqref="D248:E248">
    <cfRule type="duplicateValues" dxfId="138" priority="153"/>
    <cfRule type="duplicateValues" dxfId="137" priority="152"/>
  </conditionalFormatting>
  <conditionalFormatting sqref="D249:E249">
    <cfRule type="duplicateValues" dxfId="136" priority="136"/>
    <cfRule type="duplicateValues" dxfId="135" priority="137"/>
  </conditionalFormatting>
  <conditionalFormatting sqref="XEJ297 D297:E297">
    <cfRule type="duplicateValues" dxfId="134" priority="48"/>
    <cfRule type="duplicateValues" dxfId="133" priority="49"/>
  </conditionalFormatting>
  <conditionalFormatting sqref="XEJ298 D298:E298">
    <cfRule type="duplicateValues" dxfId="132" priority="47"/>
    <cfRule type="duplicateValues" dxfId="131" priority="46"/>
  </conditionalFormatting>
  <conditionalFormatting sqref="XEJ299 XDL299 D299:E299">
    <cfRule type="duplicateValues" dxfId="130" priority="44"/>
    <cfRule type="duplicateValues" dxfId="129" priority="45"/>
  </conditionalFormatting>
  <conditionalFormatting sqref="XEJ300 XDL300 XCN300 D300:E300">
    <cfRule type="duplicateValues" dxfId="128" priority="43"/>
    <cfRule type="duplicateValues" dxfId="127" priority="42"/>
  </conditionalFormatting>
  <conditionalFormatting sqref="XEJ301 XDL301 XCN301 XBP301 D301:E301">
    <cfRule type="duplicateValues" dxfId="126" priority="40"/>
    <cfRule type="duplicateValues" dxfId="125" priority="41"/>
  </conditionalFormatting>
  <conditionalFormatting sqref="XEJ303 XDP303 XDA303 D303:E303">
    <cfRule type="duplicateValues" dxfId="124" priority="39"/>
    <cfRule type="duplicateValues" dxfId="123" priority="38"/>
  </conditionalFormatting>
  <conditionalFormatting sqref="XEJ304 D304:E304">
    <cfRule type="duplicateValues" dxfId="122" priority="36"/>
    <cfRule type="duplicateValues" dxfId="121" priority="37"/>
  </conditionalFormatting>
  <conditionalFormatting sqref="XEJ305 D305:E305">
    <cfRule type="duplicateValues" dxfId="120" priority="34"/>
    <cfRule type="duplicateValues" dxfId="119" priority="35"/>
  </conditionalFormatting>
  <conditionalFormatting sqref="XEK288 XEA288 D288:E288">
    <cfRule type="duplicateValues" dxfId="118" priority="66"/>
    <cfRule type="duplicateValues" dxfId="117" priority="67"/>
  </conditionalFormatting>
  <conditionalFormatting sqref="XEK289 D289:E289">
    <cfRule type="duplicateValues" dxfId="116" priority="65"/>
    <cfRule type="duplicateValues" dxfId="115" priority="64"/>
  </conditionalFormatting>
  <conditionalFormatting sqref="XEK294 D294:E294">
    <cfRule type="duplicateValues" dxfId="114" priority="55"/>
    <cfRule type="duplicateValues" dxfId="113" priority="54"/>
  </conditionalFormatting>
  <conditionalFormatting sqref="XEK295 D295:E295">
    <cfRule type="duplicateValues" dxfId="112" priority="53"/>
    <cfRule type="duplicateValues" dxfId="111" priority="52"/>
  </conditionalFormatting>
  <conditionalFormatting sqref="XEL287 D287:E287">
    <cfRule type="duplicateValues" dxfId="110" priority="68"/>
    <cfRule type="duplicateValues" dxfId="109" priority="69"/>
  </conditionalFormatting>
  <conditionalFormatting sqref="XEL290 D290:E290">
    <cfRule type="duplicateValues" dxfId="108" priority="62"/>
    <cfRule type="duplicateValues" dxfId="107" priority="63"/>
  </conditionalFormatting>
  <conditionalFormatting sqref="XEL291 XDU291 D291:E291">
    <cfRule type="duplicateValues" dxfId="106" priority="61"/>
    <cfRule type="duplicateValues" dxfId="105" priority="60"/>
  </conditionalFormatting>
  <conditionalFormatting sqref="XEL292 XDU292 XDF292 D292:E292">
    <cfRule type="duplicateValues" dxfId="104" priority="59"/>
    <cfRule type="duplicateValues" dxfId="103" priority="58"/>
  </conditionalFormatting>
  <conditionalFormatting sqref="XEL293 XEB293 D293:E293">
    <cfRule type="duplicateValues" dxfId="102" priority="56"/>
    <cfRule type="duplicateValues" dxfId="101" priority="57"/>
  </conditionalFormatting>
  <conditionalFormatting sqref="XEL296 D296:E296">
    <cfRule type="duplicateValues" dxfId="100" priority="50"/>
    <cfRule type="duplicateValues" dxfId="99" priority="51"/>
  </conditionalFormatting>
  <conditionalFormatting sqref="XEM283 D283:E283">
    <cfRule type="duplicateValues" dxfId="98" priority="76"/>
    <cfRule type="duplicateValues" dxfId="97" priority="77"/>
  </conditionalFormatting>
  <conditionalFormatting sqref="XEM284 D284:E284">
    <cfRule type="duplicateValues" dxfId="96" priority="75"/>
    <cfRule type="duplicateValues" dxfId="95" priority="74"/>
  </conditionalFormatting>
  <conditionalFormatting sqref="XEM285 XDY285 D285:E285">
    <cfRule type="duplicateValues" dxfId="94" priority="73"/>
    <cfRule type="duplicateValues" dxfId="93" priority="72"/>
  </conditionalFormatting>
  <conditionalFormatting sqref="XEM286 XEE286 XDZ286 D286:E286">
    <cfRule type="duplicateValues" dxfId="92" priority="71"/>
    <cfRule type="duplicateValues" dxfId="91" priority="70"/>
  </conditionalFormatting>
  <conditionalFormatting sqref="XEN271 D271:E271">
    <cfRule type="duplicateValues" dxfId="90" priority="107"/>
    <cfRule type="duplicateValues" dxfId="89" priority="106"/>
  </conditionalFormatting>
  <conditionalFormatting sqref="XEN272 D272:E272">
    <cfRule type="duplicateValues" dxfId="88" priority="104"/>
    <cfRule type="duplicateValues" dxfId="87" priority="105"/>
  </conditionalFormatting>
  <conditionalFormatting sqref="XEN273 D273:E273">
    <cfRule type="duplicateValues" dxfId="86" priority="102"/>
    <cfRule type="duplicateValues" dxfId="85" priority="103"/>
  </conditionalFormatting>
  <conditionalFormatting sqref="XEN281 D281:E281">
    <cfRule type="duplicateValues" dxfId="84" priority="82"/>
    <cfRule type="duplicateValues" dxfId="83" priority="83"/>
  </conditionalFormatting>
  <conditionalFormatting sqref="XEN282 XDY282 D282:E282">
    <cfRule type="duplicateValues" dxfId="82" priority="80"/>
    <cfRule type="duplicateValues" dxfId="81" priority="81"/>
  </conditionalFormatting>
  <conditionalFormatting sqref="XEO255 D255:E255">
    <cfRule type="duplicateValues" dxfId="80" priority="95"/>
    <cfRule type="duplicateValues" dxfId="79" priority="94"/>
  </conditionalFormatting>
  <conditionalFormatting sqref="XEO256 XEA256 D256:E256">
    <cfRule type="duplicateValues" dxfId="78" priority="93"/>
    <cfRule type="duplicateValues" dxfId="77" priority="92"/>
  </conditionalFormatting>
  <conditionalFormatting sqref="XEO270 D270:E270">
    <cfRule type="duplicateValues" dxfId="76" priority="109"/>
    <cfRule type="duplicateValues" dxfId="75" priority="108"/>
  </conditionalFormatting>
  <conditionalFormatting sqref="XEO274 D274:E274">
    <cfRule type="duplicateValues" dxfId="74" priority="101"/>
    <cfRule type="duplicateValues" dxfId="73" priority="100"/>
  </conditionalFormatting>
  <conditionalFormatting sqref="XEO275 D275:E275">
    <cfRule type="duplicateValues" dxfId="72" priority="99"/>
    <cfRule type="duplicateValues" dxfId="71" priority="98"/>
  </conditionalFormatting>
  <conditionalFormatting sqref="XEO276 XEC276 D276:E276">
    <cfRule type="duplicateValues" dxfId="70" priority="96"/>
    <cfRule type="duplicateValues" dxfId="69" priority="97"/>
  </conditionalFormatting>
  <conditionalFormatting sqref="XEO277 D277:E277">
    <cfRule type="duplicateValues" dxfId="68" priority="91"/>
    <cfRule type="duplicateValues" dxfId="67" priority="90"/>
  </conditionalFormatting>
  <conditionalFormatting sqref="XEO278 D278:E278">
    <cfRule type="duplicateValues" dxfId="66" priority="88"/>
    <cfRule type="duplicateValues" dxfId="65" priority="89"/>
  </conditionalFormatting>
  <conditionalFormatting sqref="XEO279 D279:E279">
    <cfRule type="duplicateValues" dxfId="64" priority="87"/>
    <cfRule type="duplicateValues" dxfId="63" priority="86"/>
  </conditionalFormatting>
  <conditionalFormatting sqref="XEO280 D280:E280">
    <cfRule type="duplicateValues" dxfId="62" priority="84"/>
    <cfRule type="duplicateValues" dxfId="61" priority="85"/>
  </conditionalFormatting>
  <conditionalFormatting sqref="XEQ267 D267:E267">
    <cfRule type="duplicateValues" dxfId="60" priority="112"/>
    <cfRule type="duplicateValues" dxfId="59" priority="113"/>
  </conditionalFormatting>
  <conditionalFormatting sqref="XEQ268 D268:E268">
    <cfRule type="duplicateValues" dxfId="58" priority="110"/>
    <cfRule type="duplicateValues" dxfId="57" priority="111"/>
  </conditionalFormatting>
  <conditionalFormatting sqref="XES173 XEL173 XEE173 XDX173 D173:E173">
    <cfRule type="duplicateValues" dxfId="56" priority="116"/>
    <cfRule type="duplicateValues" dxfId="55" priority="117"/>
  </conditionalFormatting>
  <conditionalFormatting sqref="XES257 D257:E257">
    <cfRule type="duplicateValues" dxfId="54" priority="135"/>
    <cfRule type="duplicateValues" dxfId="53" priority="134"/>
  </conditionalFormatting>
  <conditionalFormatting sqref="XES258 D258:E258">
    <cfRule type="duplicateValues" dxfId="52" priority="133"/>
    <cfRule type="duplicateValues" dxfId="51" priority="132"/>
  </conditionalFormatting>
  <conditionalFormatting sqref="XES259 D259:E259">
    <cfRule type="duplicateValues" dxfId="50" priority="131"/>
    <cfRule type="duplicateValues" dxfId="49" priority="130"/>
  </conditionalFormatting>
  <conditionalFormatting sqref="XES260 XEL260 D260:E260">
    <cfRule type="duplicateValues" dxfId="48" priority="129"/>
    <cfRule type="duplicateValues" dxfId="47" priority="128"/>
  </conditionalFormatting>
  <conditionalFormatting sqref="XES261 XEL261 XEE261 D261:E261">
    <cfRule type="duplicateValues" dxfId="46" priority="126"/>
    <cfRule type="duplicateValues" dxfId="45" priority="127"/>
  </conditionalFormatting>
  <conditionalFormatting sqref="XES262 D262:E262">
    <cfRule type="duplicateValues" dxfId="44" priority="122"/>
    <cfRule type="duplicateValues" dxfId="43" priority="123"/>
  </conditionalFormatting>
  <conditionalFormatting sqref="XES263 XEL263 D263:E263">
    <cfRule type="duplicateValues" dxfId="42" priority="120"/>
    <cfRule type="duplicateValues" dxfId="41" priority="121"/>
  </conditionalFormatting>
  <conditionalFormatting sqref="XES264 XEL264 XEE264 D264:E264">
    <cfRule type="duplicateValues" dxfId="40" priority="118"/>
    <cfRule type="duplicateValues" dxfId="39" priority="119"/>
  </conditionalFormatting>
  <conditionalFormatting sqref="XES265 D265:E265">
    <cfRule type="duplicateValues" dxfId="38" priority="114"/>
    <cfRule type="duplicateValues" dxfId="37" priority="115"/>
  </conditionalFormatting>
  <conditionalFormatting sqref="XEU250 D250:E250">
    <cfRule type="duplicateValues" dxfId="36" priority="149"/>
    <cfRule type="duplicateValues" dxfId="35" priority="148"/>
  </conditionalFormatting>
  <conditionalFormatting sqref="XEU251 D251:E251">
    <cfRule type="duplicateValues" dxfId="34" priority="147"/>
    <cfRule type="duplicateValues" dxfId="33" priority="146"/>
  </conditionalFormatting>
  <conditionalFormatting sqref="XEU252 D252:E252">
    <cfRule type="duplicateValues" dxfId="32" priority="144"/>
    <cfRule type="duplicateValues" dxfId="31" priority="145"/>
  </conditionalFormatting>
  <conditionalFormatting sqref="XEU253 XEP253 D253:E253">
    <cfRule type="duplicateValues" dxfId="30" priority="142"/>
    <cfRule type="duplicateValues" dxfId="29" priority="143"/>
  </conditionalFormatting>
  <conditionalFormatting sqref="XEU254 D254:E254">
    <cfRule type="duplicateValues" dxfId="28" priority="140"/>
    <cfRule type="duplicateValues" dxfId="27" priority="141"/>
  </conditionalFormatting>
  <conditionalFormatting sqref="XEW316 XEF316 XDY316 XDR316 D316:E316">
    <cfRule type="duplicateValues" dxfId="26" priority="4"/>
    <cfRule type="duplicateValues" dxfId="25" priority="3"/>
  </conditionalFormatting>
  <conditionalFormatting sqref="XEX310 D310:E310">
    <cfRule type="duplicateValues" dxfId="24" priority="15"/>
    <cfRule type="duplicateValues" dxfId="23" priority="16"/>
  </conditionalFormatting>
  <conditionalFormatting sqref="XEX311 XEJ311 D311:E311">
    <cfRule type="duplicateValues" dxfId="22" priority="11"/>
    <cfRule type="duplicateValues" dxfId="21" priority="12"/>
  </conditionalFormatting>
  <conditionalFormatting sqref="XEX312 XED312 XDP312 D312:E312">
    <cfRule type="duplicateValues" dxfId="20" priority="9"/>
    <cfRule type="duplicateValues" dxfId="19" priority="10"/>
  </conditionalFormatting>
  <conditionalFormatting sqref="XEX313 XDY313 D313:E313">
    <cfRule type="duplicateValues" dxfId="18" priority="8"/>
    <cfRule type="duplicateValues" dxfId="17" priority="7"/>
  </conditionalFormatting>
  <conditionalFormatting sqref="XEX314 XEH314 XEA314 D314:E314">
    <cfRule type="duplicateValues" dxfId="16" priority="6"/>
    <cfRule type="duplicateValues" dxfId="15" priority="5"/>
  </conditionalFormatting>
  <conditionalFormatting sqref="XEY307 C307">
    <cfRule type="duplicateValues" dxfId="14" priority="22"/>
    <cfRule type="duplicateValues" dxfId="13" priority="25"/>
    <cfRule type="duplicateValues" dxfId="12" priority="26"/>
    <cfRule type="duplicateValues" dxfId="11" priority="27"/>
    <cfRule type="duplicateValues" dxfId="10" priority="28"/>
    <cfRule type="duplicateValues" dxfId="9" priority="29"/>
  </conditionalFormatting>
  <conditionalFormatting sqref="XEY307">
    <cfRule type="duplicateValues" dxfId="8" priority="21"/>
    <cfRule type="duplicateValues" dxfId="7" priority="23"/>
    <cfRule type="duplicateValues" dxfId="6" priority="24"/>
  </conditionalFormatting>
  <conditionalFormatting sqref="XEZ307 D307:E307">
    <cfRule type="duplicateValues" dxfId="5" priority="30"/>
    <cfRule type="duplicateValues" dxfId="4" priority="31"/>
  </conditionalFormatting>
  <conditionalFormatting sqref="XEZ308 XEJ308 XEC308 D308:E308">
    <cfRule type="duplicateValues" dxfId="3" priority="19"/>
    <cfRule type="duplicateValues" dxfId="2" priority="20"/>
  </conditionalFormatting>
  <conditionalFormatting sqref="XFA306 XEG306 D306:E306">
    <cfRule type="duplicateValues" dxfId="1" priority="32"/>
    <cfRule type="duplicateValues" dxfId="0" priority="3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5"/>
  <sheetViews>
    <sheetView workbookViewId="0">
      <selection activeCell="R4" sqref="R4"/>
    </sheetView>
  </sheetViews>
  <sheetFormatPr defaultRowHeight="15" x14ac:dyDescent="0.25"/>
  <cols>
    <col min="1" max="1" width="9.140625" style="10"/>
    <col min="2" max="2" width="10" bestFit="1" customWidth="1"/>
    <col min="3" max="3" width="19.85546875" customWidth="1"/>
    <col min="4" max="4" width="63.7109375" bestFit="1" customWidth="1"/>
    <col min="5" max="6" width="0" hidden="1" customWidth="1"/>
    <col min="7" max="7" width="8.28515625" hidden="1" customWidth="1"/>
    <col min="8" max="8" width="0" hidden="1" customWidth="1"/>
    <col min="9" max="9" width="10.28515625" customWidth="1"/>
    <col min="10" max="38" width="4.28515625" customWidth="1"/>
  </cols>
  <sheetData>
    <row r="1" spans="1:38" s="11" customFormat="1" ht="56.25" customHeight="1" x14ac:dyDescent="0.25">
      <c r="A1" s="12" t="s">
        <v>236</v>
      </c>
      <c r="B1" s="12" t="s">
        <v>66</v>
      </c>
      <c r="C1" s="12" t="s">
        <v>65</v>
      </c>
      <c r="D1" s="12" t="s">
        <v>67</v>
      </c>
      <c r="E1" s="12" t="s">
        <v>114</v>
      </c>
      <c r="F1" s="12" t="s">
        <v>237</v>
      </c>
      <c r="G1" s="12" t="s">
        <v>402</v>
      </c>
      <c r="H1" s="12" t="s">
        <v>401</v>
      </c>
      <c r="I1" s="12" t="s">
        <v>485</v>
      </c>
      <c r="J1" s="13">
        <v>45870</v>
      </c>
      <c r="K1" s="13">
        <v>45871</v>
      </c>
      <c r="L1" s="13">
        <v>45872</v>
      </c>
      <c r="M1" s="13">
        <v>45873</v>
      </c>
      <c r="N1" s="13">
        <v>45874</v>
      </c>
      <c r="O1" s="13">
        <v>45875</v>
      </c>
      <c r="P1" s="13">
        <v>45876</v>
      </c>
      <c r="Q1" s="13">
        <v>45877</v>
      </c>
      <c r="R1" s="13">
        <v>45880</v>
      </c>
      <c r="S1" s="13">
        <v>45881</v>
      </c>
      <c r="T1" s="13">
        <v>45882</v>
      </c>
      <c r="U1" s="13">
        <v>45883</v>
      </c>
      <c r="V1" s="13">
        <v>45884</v>
      </c>
      <c r="W1" s="13">
        <v>45885</v>
      </c>
      <c r="X1" s="13">
        <v>45886</v>
      </c>
      <c r="Y1" s="13">
        <v>45887</v>
      </c>
      <c r="Z1" s="13">
        <v>45888</v>
      </c>
      <c r="AA1" s="13">
        <v>45889</v>
      </c>
      <c r="AB1" s="13">
        <v>45890</v>
      </c>
      <c r="AC1" s="13">
        <v>45891</v>
      </c>
      <c r="AD1" s="13">
        <v>45892</v>
      </c>
      <c r="AE1" s="13">
        <v>45893</v>
      </c>
      <c r="AF1" s="13">
        <v>45894</v>
      </c>
      <c r="AG1" s="13">
        <v>45895</v>
      </c>
      <c r="AH1" s="13">
        <v>45896</v>
      </c>
      <c r="AI1" s="13">
        <v>45897</v>
      </c>
      <c r="AJ1" s="13">
        <v>45898</v>
      </c>
      <c r="AK1" s="13">
        <v>45899</v>
      </c>
      <c r="AL1" s="13">
        <v>45900</v>
      </c>
    </row>
    <row r="2" spans="1:38" x14ac:dyDescent="0.25">
      <c r="A2" s="9">
        <v>1</v>
      </c>
      <c r="B2" s="6" t="s">
        <v>5</v>
      </c>
      <c r="C2" s="6" t="s">
        <v>22</v>
      </c>
      <c r="D2" s="6" t="s">
        <v>74</v>
      </c>
      <c r="E2" s="6">
        <v>30</v>
      </c>
      <c r="F2" s="6">
        <v>22</v>
      </c>
      <c r="G2" s="6">
        <v>16</v>
      </c>
      <c r="H2" s="6">
        <v>30</v>
      </c>
      <c r="I2" s="6">
        <f>SUM(J2:AL2)</f>
        <v>15</v>
      </c>
      <c r="J2" s="6">
        <v>1</v>
      </c>
      <c r="K2" s="6"/>
      <c r="L2" s="6">
        <v>1</v>
      </c>
      <c r="M2" s="6"/>
      <c r="N2" s="6">
        <v>5</v>
      </c>
      <c r="O2" s="6">
        <v>5</v>
      </c>
      <c r="P2" s="6">
        <v>2</v>
      </c>
      <c r="Q2" s="6">
        <v>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x14ac:dyDescent="0.25">
      <c r="A3" s="9">
        <v>2</v>
      </c>
      <c r="B3" s="6" t="s">
        <v>5</v>
      </c>
      <c r="C3" s="6" t="s">
        <v>6</v>
      </c>
      <c r="D3" s="6" t="s">
        <v>49</v>
      </c>
      <c r="E3" s="6">
        <v>40</v>
      </c>
      <c r="F3" s="6">
        <v>32</v>
      </c>
      <c r="G3" s="6">
        <v>28</v>
      </c>
      <c r="H3" s="6">
        <v>27</v>
      </c>
      <c r="I3" s="6">
        <f t="shared" ref="I3:I5" si="0">SUM(J3:AL3)</f>
        <v>11</v>
      </c>
      <c r="J3" s="6">
        <v>3</v>
      </c>
      <c r="K3" s="6">
        <v>1</v>
      </c>
      <c r="L3" s="6"/>
      <c r="M3" s="6">
        <v>2</v>
      </c>
      <c r="N3" s="6">
        <v>2</v>
      </c>
      <c r="O3" s="6">
        <v>2</v>
      </c>
      <c r="P3" s="6">
        <v>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x14ac:dyDescent="0.25">
      <c r="A4" s="9">
        <v>3</v>
      </c>
      <c r="B4" s="6" t="s">
        <v>5</v>
      </c>
      <c r="C4" s="6" t="s">
        <v>16</v>
      </c>
      <c r="D4" s="6" t="s">
        <v>68</v>
      </c>
      <c r="E4" s="6">
        <v>23</v>
      </c>
      <c r="F4" s="6">
        <v>34</v>
      </c>
      <c r="G4" s="6">
        <v>26</v>
      </c>
      <c r="H4" s="6">
        <v>23</v>
      </c>
      <c r="I4" s="6">
        <f t="shared" si="0"/>
        <v>8</v>
      </c>
      <c r="J4" s="6">
        <v>1</v>
      </c>
      <c r="K4" s="6"/>
      <c r="L4" s="6">
        <v>1</v>
      </c>
      <c r="M4" s="6">
        <v>1</v>
      </c>
      <c r="N4" s="6">
        <v>1</v>
      </c>
      <c r="O4" s="6">
        <v>1</v>
      </c>
      <c r="P4" s="6">
        <v>2</v>
      </c>
      <c r="Q4" s="6">
        <v>1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 x14ac:dyDescent="0.25">
      <c r="A5" s="9">
        <v>4</v>
      </c>
      <c r="B5" s="6" t="s">
        <v>5</v>
      </c>
      <c r="C5" s="6" t="s">
        <v>6</v>
      </c>
      <c r="D5" s="6" t="s">
        <v>58</v>
      </c>
      <c r="E5" s="6">
        <v>84</v>
      </c>
      <c r="F5" s="6">
        <v>57</v>
      </c>
      <c r="G5" s="6">
        <v>87</v>
      </c>
      <c r="H5" s="6">
        <v>70</v>
      </c>
      <c r="I5" s="6">
        <f t="shared" si="0"/>
        <v>30</v>
      </c>
      <c r="J5" s="6">
        <v>3</v>
      </c>
      <c r="K5" s="6">
        <v>3</v>
      </c>
      <c r="L5" s="6">
        <v>6</v>
      </c>
      <c r="M5" s="6">
        <v>4</v>
      </c>
      <c r="N5" s="6">
        <v>4</v>
      </c>
      <c r="O5" s="6">
        <v>4</v>
      </c>
      <c r="P5" s="6">
        <v>1</v>
      </c>
      <c r="Q5" s="6">
        <v>5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</sheetData>
  <autoFilter ref="A1:AL5" xr:uid="{00000000-0009-0000-0000-000001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2FACD9123544ABBB1AC6B7EF8C5DF" ma:contentTypeVersion="15" ma:contentTypeDescription="Create a new document." ma:contentTypeScope="" ma:versionID="0d60101aede33133acc24fb93099c567">
  <xsd:schema xmlns:xsd="http://www.w3.org/2001/XMLSchema" xmlns:xs="http://www.w3.org/2001/XMLSchema" xmlns:p="http://schemas.microsoft.com/office/2006/metadata/properties" xmlns:ns3="b87513bf-d3a3-4bb6-bb80-0db9f92d21d9" xmlns:ns4="c91e10da-bd16-4dd2-b6fa-603aa87e9a69" targetNamespace="http://schemas.microsoft.com/office/2006/metadata/properties" ma:root="true" ma:fieldsID="73146f635d756b6ebc81b8e778ae83e4" ns3:_="" ns4:_="">
    <xsd:import namespace="b87513bf-d3a3-4bb6-bb80-0db9f92d21d9"/>
    <xsd:import namespace="c91e10da-bd16-4dd2-b6fa-603aa87e9a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513bf-d3a3-4bb6-bb80-0db9f92d2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e10da-bd16-4dd2-b6fa-603aa87e9a6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7513bf-d3a3-4bb6-bb80-0db9f92d21d9" xsi:nil="true"/>
  </documentManagement>
</p:properties>
</file>

<file path=customXml/itemProps1.xml><?xml version="1.0" encoding="utf-8"?>
<ds:datastoreItem xmlns:ds="http://schemas.openxmlformats.org/officeDocument/2006/customXml" ds:itemID="{FE5FAA41-11EB-45E1-A4C6-F8D94DE73E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90A66A-8319-494C-9871-41185E9593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513bf-d3a3-4bb6-bb80-0db9f92d21d9"/>
    <ds:schemaRef ds:uri="c91e10da-bd16-4dd2-b6fa-603aa87e9a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4C8F5E-704F-4852-8431-F0196E23665E}">
  <ds:schemaRefs>
    <ds:schemaRef ds:uri="http://schemas.microsoft.com/office/2006/documentManagement/types"/>
    <ds:schemaRef ds:uri="c91e10da-bd16-4dd2-b6fa-603aa87e9a69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b87513bf-d3a3-4bb6-bb80-0db9f92d21d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Top Defect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2026-03-09T16:57:48Z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0x0101008BB2FACD9123544ABBB1AC6B7EF8C5DF</vt:lpwstr>
  </property>
</Properties>
</file>